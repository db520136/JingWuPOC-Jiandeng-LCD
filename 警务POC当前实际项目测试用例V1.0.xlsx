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uGong\Chuangdai_Project\ZhiLeng_ChuangDai_YiFu\YaSuoJi_Plan\YaSuoJi_Cat1_POC_Plan\JingWuPOC\"/>
    </mc:Choice>
  </mc:AlternateContent>
  <bookViews>
    <workbookView windowWidth="22193" windowHeight="10480" activeTab="2"/>
  </bookViews>
  <sheets>
    <sheet name="测试说明" sheetId="1" r:id="rId1"/>
    <sheet name="测试执行概览" sheetId="2" r:id="rId2"/>
    <sheet name="测试用例" sheetId="3" r:id="rId3"/>
    <sheet name="需求覆盖矩阵" sheetId="4" r:id="rId4"/>
    <sheet name="协议测试矩阵" sheetId="5" r:id="rId5"/>
    <sheet name="测试数据" sheetId="6" r:id="rId6"/>
    <sheet name="已知限制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<sst xmlns="http://schemas.openxmlformats.org/spreadsheetml/2006/main" count="3927" uniqueCount="1890">
  <si>
    <t>警务POC当前实际项目测试用例 V1.0</t>
  </si>
  <si>
    <t>项目</t>
  </si>
  <si>
    <t>警务POC设备端</t>
  </si>
  <si>
    <t>测试基线</t>
  </si>
  <si>
    <t>正式入口main.py及poc_ui、poc_comm当前代码</t>
  </si>
  <si>
    <t>软件版本</t>
  </si>
  <si>
    <t>1.5.0</t>
  </si>
  <si>
    <t>硬件版本</t>
  </si>
  <si>
    <t>1.3.0</t>
  </si>
  <si>
    <t>目标设备</t>
  </si>
  <si>
    <t>移远EC800M Cat.1 / QuecPython / 296x240 LCD</t>
  </si>
  <si>
    <t>用例总数</t>
  </si>
  <si>
    <t>用例级别</t>
  </si>
  <si>
    <t>P0：核心阻断；P1：重要功能；P2：一般功能或限制确认</t>
  </si>
  <si>
    <t>执行状态</t>
  </si>
  <si>
    <t>未执行、通过、失败、阻塞、不适用</t>
  </si>
  <si>
    <t>测试环境</t>
  </si>
  <si>
    <t>至少2台设备、有效SIM、对讲/HTTP/TCP/MQTT平台、串口日志工具</t>
  </si>
  <si>
    <t>结果填写</t>
  </si>
  <si>
    <t>执行后填写实际结果、状态、缺陷编号、测试人员和日期</t>
  </si>
  <si>
    <t>日志要求</t>
  </si>
  <si>
    <t>P0/P1失败必须保留完整启动、网络、协议和异常日志；音频问题同时记录两端时间线</t>
  </si>
  <si>
    <t>范围说明</t>
  </si>
  <si>
    <t>覆盖当前已实现功能；已知限制单独列出，不作为已实现能力验收</t>
  </si>
  <si>
    <t>建议执行顺序：冒烟测试 → P0核心链路 → 异常恢复 → P1完整回归 → P2界面与限制确认 → 8小时稳定性测试</t>
  </si>
  <si>
    <t>测试执行概览</t>
  </si>
  <si>
    <t>指标</t>
  </si>
  <si>
    <t>数量</t>
  </si>
  <si>
    <t>模块</t>
  </si>
  <si>
    <t>用例数</t>
  </si>
  <si>
    <t>已执行</t>
  </si>
  <si>
    <t>通过率</t>
  </si>
  <si>
    <t>总用例</t>
  </si>
  <si>
    <t>启动与初始化</t>
  </si>
  <si>
    <t>P0</t>
  </si>
  <si>
    <t>看门狗</t>
  </si>
  <si>
    <t>P1</t>
  </si>
  <si>
    <t>网络与服务器</t>
  </si>
  <si>
    <t>P2</t>
  </si>
  <si>
    <t>登录与身份</t>
  </si>
  <si>
    <t>通过</t>
  </si>
  <si>
    <t>游客模式</t>
  </si>
  <si>
    <t>失败</t>
  </si>
  <si>
    <t>HTTP名单与POC权限</t>
  </si>
  <si>
    <t>阻塞</t>
  </si>
  <si>
    <t>UI导航</t>
  </si>
  <si>
    <t>组呼</t>
  </si>
  <si>
    <t>单呼</t>
  </si>
  <si>
    <t>PTT与麦权</t>
  </si>
  <si>
    <t>RTP音频</t>
  </si>
  <si>
    <t>TCP通信</t>
  </si>
  <si>
    <t>断线重连</t>
  </si>
  <si>
    <t>GNSS定位</t>
  </si>
  <si>
    <t>肩灯与双击</t>
  </si>
  <si>
    <t>实体按键与息屏</t>
  </si>
  <si>
    <t>电池与网络状态</t>
  </si>
  <si>
    <t>设置与持久化</t>
  </si>
  <si>
    <t>OTA主动升级</t>
  </si>
  <si>
    <t>并发与资源</t>
  </si>
  <si>
    <t>日志与诊断</t>
  </si>
  <si>
    <t>当前限制</t>
  </si>
  <si>
    <t>测试用例（共216条）</t>
  </si>
  <si>
    <t>用例编号</t>
  </si>
  <si>
    <t>功能点</t>
  </si>
  <si>
    <t>需求路径</t>
  </si>
  <si>
    <t>优先级</t>
  </si>
  <si>
    <t>测试类型</t>
  </si>
  <si>
    <t>前置条件</t>
  </si>
  <si>
    <t>测试数据</t>
  </si>
  <si>
    <t>操作步骤</t>
  </si>
  <si>
    <t>预期结果</t>
  </si>
  <si>
    <t>日志检查点</t>
  </si>
  <si>
    <t>实际结果</t>
  </si>
  <si>
    <t>缺陷编号</t>
  </si>
  <si>
    <t>测试人员</t>
  </si>
  <si>
    <t>执行日期</t>
  </si>
  <si>
    <t>备注</t>
  </si>
  <si>
    <t>TC-001</t>
  </si>
  <si>
    <t>正常上电启动</t>
  </si>
  <si>
    <t>启动与初始化 &gt; 正常上电启动</t>
  </si>
  <si>
    <t>功能</t>
  </si>
  <si>
    <t>设备资源完整</t>
  </si>
  <si>
    <t>按前置条件准备对应真机、平台数据或故障注入条件</t>
  </si>
  <si>
    <t>1. 设备资源完整
2. 设备上电并观察启动过程
3. 观察界面、协议、声音和资源状态
4. 保存相关日志</t>
  </si>
  <si>
    <t>按顺序完成Flash、配置、通信、外设、UI和Worker初始化，进入登录页</t>
  </si>
  <si>
    <t>检查启动顺序日志且无未捕获异常</t>
  </si>
  <si>
    <t/>
  </si>
  <si>
    <t>未执行</t>
  </si>
  <si>
    <t>TC-002</t>
  </si>
  <si>
    <t>外置Flash挂载失败</t>
  </si>
  <si>
    <t>启动与初始化 &gt; 外置Flash挂载失败</t>
  </si>
  <si>
    <t>异常</t>
  </si>
  <si>
    <t>模拟/ext挂载失败</t>
  </si>
  <si>
    <t>1. 模拟/ext挂载失败
2. 设备上电
3. 观察界面、协议、声音和资源状态
4. 保存相关日志</t>
  </si>
  <si>
    <t>记录失败原因，界面可进入；依赖外置资源的显示明确异常</t>
  </si>
  <si>
    <t>检查Flash挂载失败日志</t>
  </si>
  <si>
    <t>TC-003</t>
  </si>
  <si>
    <t>肩灯初始化失败容错</t>
  </si>
  <si>
    <t>启动与初始化 &gt; 肩灯初始化失败容错</t>
  </si>
  <si>
    <t>断开或屏蔽ET6312B</t>
  </si>
  <si>
    <t>1. 断开或屏蔽ET6312B
2. 设备上电
3. 观察界面、协议、声音和资源状态
4. 保存相关日志</t>
  </si>
  <si>
    <t>肩灯功能不可用但登录、定位和对讲继续启动</t>
  </si>
  <si>
    <t>检查肩灯初始化失败且后续模块启动</t>
  </si>
  <si>
    <t>TC-004</t>
  </si>
  <si>
    <t>看门狗初始化失败容错</t>
  </si>
  <si>
    <t>启动与初始化 &gt; 看门狗初始化失败容错</t>
  </si>
  <si>
    <t>模拟看门狗创建失败</t>
  </si>
  <si>
    <t>1. 模拟看门狗创建失败
2. 设备上电
3. 观察界面、协议、声音和资源状态
4. 保存相关日志</t>
  </si>
  <si>
    <t>记录错误且其余业务继续运行</t>
  </si>
  <si>
    <t>检查看门狗创建失败日志</t>
  </si>
  <si>
    <t>TC-005</t>
  </si>
  <si>
    <t>图片缓存初始化</t>
  </si>
  <si>
    <t>启动与初始化 &gt; 图片缓存初始化</t>
  </si>
  <si>
    <t>LVGL导出缓存API</t>
  </si>
  <si>
    <t>1. LVGL导出缓存API
2. 设备上电并切换多个含图页面
3. 观察界面、协议、声音和资源状态
4. 保存相关日志</t>
  </si>
  <si>
    <t>图片缓存仅初始化一次，缓存项为12，页面正常显示</t>
  </si>
  <si>
    <t>检查无重复初始化或图片加载异常</t>
  </si>
  <si>
    <t>TC-006</t>
  </si>
  <si>
    <t>图片缓存API缺失退化</t>
  </si>
  <si>
    <t>启动与初始化 &gt; 图片缓存API缺失退化</t>
  </si>
  <si>
    <t>兼容</t>
  </si>
  <si>
    <t>模拟LVGL未导出缓存API</t>
  </si>
  <si>
    <t>1. 模拟LVGL未导出缓存API
2. 设备上电
3. 观察界面、协议、声音和资源状态
4. 保存相关日志</t>
  </si>
  <si>
    <t>退化为普通图片加载，不阻断UI</t>
  </si>
  <si>
    <t>检查退化日志和页面图片</t>
  </si>
  <si>
    <t>TC-007</t>
  </si>
  <si>
    <t>LCD残影清理</t>
  </si>
  <si>
    <t>启动与初始化 &gt; LCD残影清理</t>
  </si>
  <si>
    <t>界面</t>
  </si>
  <si>
    <t>设备上次停留在非登录页</t>
  </si>
  <si>
    <t>1. 设备上次停留在非登录页
2. 断电后重新上电
3. 观察界面、协议、声音和资源状态
4. 保存相关日志</t>
  </si>
  <si>
    <t>上电先清显存，不出现上次页面残影</t>
  </si>
  <si>
    <t>目视检查，无错误日志</t>
  </si>
  <si>
    <t>TC-008</t>
  </si>
  <si>
    <t>正式入口确认</t>
  </si>
  <si>
    <t>启动与初始化 &gt; 正式入口确认</t>
  </si>
  <si>
    <t>配置</t>
  </si>
  <si>
    <t>部署正式包</t>
  </si>
  <si>
    <t>1. 部署正式包
2. 执行main.py
3. 观察界面、协议、声音和资源状态
4. 保存相关日志</t>
  </si>
  <si>
    <t>只启动当前正式架构，不引用main_aaa.py或POC_Old</t>
  </si>
  <si>
    <t>检查模块加载路径</t>
  </si>
  <si>
    <t>TC-009</t>
  </si>
  <si>
    <t>UI正常喂狗</t>
  </si>
  <si>
    <t>看门狗 &gt; UI正常喂狗</t>
  </si>
  <si>
    <t>稳定性</t>
  </si>
  <si>
    <t>看门狗可用</t>
  </si>
  <si>
    <t>1. 看门狗可用
2. 持续运行30分钟并操作页面
3. 观察界面、协议、声音和资源状态
4. 保存相关日志</t>
  </si>
  <si>
    <t>UI主循环约每5秒喂狗，设备不重启</t>
  </si>
  <si>
    <t>检查喂狗与复位原因日志</t>
  </si>
  <si>
    <t>TC-010</t>
  </si>
  <si>
    <t>通信繁忙时喂狗</t>
  </si>
  <si>
    <t>看门狗 &gt; 通信繁忙时喂狗</t>
  </si>
  <si>
    <t>并发</t>
  </si>
  <si>
    <t>连续组呼和页面操作</t>
  </si>
  <si>
    <t>1. 连续组呼和页面操作
2. 持续收发语音10分钟
3. 观察界面、协议、声音和资源状态
4. 保存相关日志</t>
  </si>
  <si>
    <t>通信繁忙不影响UI喂狗，设备不被看门狗复位</t>
  </si>
  <si>
    <t>检查运行期间无看门狗复位</t>
  </si>
  <si>
    <t>TC-011</t>
  </si>
  <si>
    <t>UI主循环阻塞复位</t>
  </si>
  <si>
    <t>看门狗 &gt; UI主循环阻塞复位</t>
  </si>
  <si>
    <t>故障注入</t>
  </si>
  <si>
    <t>可注入UI阻塞超过20秒</t>
  </si>
  <si>
    <t>1. 可注入UI阻塞超过20秒
2. 触发阻塞
3. 观察界面、协议、声音和资源状态
4. 保存相关日志</t>
  </si>
  <si>
    <t>看门狗按设计复位设备，复位后可重新启动</t>
  </si>
  <si>
    <t>检查复位原因</t>
  </si>
  <si>
    <t>TC-012</t>
  </si>
  <si>
    <t>公网服务器选择</t>
  </si>
  <si>
    <t>网络与服务器 &gt; 公网服务器选择</t>
  </si>
  <si>
    <t>SERVER_MODE=公网</t>
  </si>
  <si>
    <t>1. SERVER_MODE=公网
2. 启动设备
3. 观察界面、协议、声音和资源状态
4. 保存相关日志</t>
  </si>
  <si>
    <t>TCP、HTTP、MQTT使用公网常量配置</t>
  </si>
  <si>
    <t>检查连接目标IP和端口日志</t>
  </si>
  <si>
    <t>TC-013</t>
  </si>
  <si>
    <t>专网服务器选择</t>
  </si>
  <si>
    <t>网络与服务器 &gt; 专网服务器选择</t>
  </si>
  <si>
    <t>SERVER_MODE=专网且地址已配置</t>
  </si>
  <si>
    <t>1. SERVER_MODE=专网且地址已配置
2. 启动设备
3. 观察界面、协议、声音和资源状态
4. 保存相关日志</t>
  </si>
  <si>
    <t>各服务使用专网常量且不混用公网地址</t>
  </si>
  <si>
    <t>检查各连接目标</t>
  </si>
  <si>
    <t>TC-014</t>
  </si>
  <si>
    <t>蜂窝网络正常注册</t>
  </si>
  <si>
    <t>网络与服务器 &gt; 蜂窝网络正常注册</t>
  </si>
  <si>
    <t>SIM有效且有信号</t>
  </si>
  <si>
    <t>1. SIM有效且有信号
2. 启动设备
3. 观察界面、协议、声音和资源状态
4. 保存相关日志</t>
  </si>
  <si>
    <t>完成网络注册和数据拨号，状态更新为可用</t>
  </si>
  <si>
    <t>检查网络就绪日志</t>
  </si>
  <si>
    <t>TC-015</t>
  </si>
  <si>
    <t>网络注册失败</t>
  </si>
  <si>
    <t>网络与服务器 &gt; 网络注册失败</t>
  </si>
  <si>
    <t>无SIM或无信号</t>
  </si>
  <si>
    <t>1. 无SIM或无信号
2. 启动并等待超时
3. 观察界面、协议、声音和资源状态
4. 保存相关日志</t>
  </si>
  <si>
    <t>登录页保持可操作，可进入游客流程，不阻塞UI</t>
  </si>
  <si>
    <t>检查注册失败和重试日志</t>
  </si>
  <si>
    <t>TC-016</t>
  </si>
  <si>
    <t>TCP预连接成功</t>
  </si>
  <si>
    <t>网络与服务器 &gt; TCP预连接成功</t>
  </si>
  <si>
    <t>网络可用且TCP服务器正常</t>
  </si>
  <si>
    <t>1. 网络可用且TCP服务器正常
2. 停留登录页
3. 观察界面、协议、声音和资源状态
4. 保存相关日志</t>
  </si>
  <si>
    <t>登录前TCP Socket就绪并等待警号</t>
  </si>
  <si>
    <t>检查TCP连接成功日志</t>
  </si>
  <si>
    <t>TC-017</t>
  </si>
  <si>
    <t>TCP预连接失败</t>
  </si>
  <si>
    <t>网络与服务器 &gt; TCP预连接失败</t>
  </si>
  <si>
    <t>服务器不可达</t>
  </si>
  <si>
    <t>1. 服务器不可达
2. 启动并尝试登录
3. 观察界面、协议、声音和资源状态
4. 保存相关日志</t>
  </si>
  <si>
    <t>提示连接中或失败，可选择取消或强制游客登录</t>
  </si>
  <si>
    <t>检查连接失败原因</t>
  </si>
  <si>
    <t>TC-018</t>
  </si>
  <si>
    <t>网络提示时长</t>
  </si>
  <si>
    <t>网络与服务器 &gt; 网络提示时长</t>
  </si>
  <si>
    <t>网络和TCP先后成功</t>
  </si>
  <si>
    <t>1. 网络和TCP先后成功
2. 观察成功提示
3. 观察界面、协议、声音和资源状态
4. 保存相关日志</t>
  </si>
  <si>
    <t>网络连接成功和TCP连接成功提示各约1秒</t>
  </si>
  <si>
    <t>记录提示出现和消失时间</t>
  </si>
  <si>
    <t>TC-019</t>
  </si>
  <si>
    <t>注册警号登录成功</t>
  </si>
  <si>
    <t>登录与身份 &gt; 注册警号登录成功</t>
  </si>
  <si>
    <t>警号已注册且TCP正常</t>
  </si>
  <si>
    <t>1. 警号已注册且TCP正常
2. 输入警号并确认登录
3. 观察界面、协议、声音和资源状态
4. 保存相关日志</t>
  </si>
  <si>
    <t>显示登录中；收到成功应答后进入定位一级页并显示警员信息</t>
  </si>
  <si>
    <t>检查0x01、0x81及登录成功日志</t>
  </si>
  <si>
    <t>TC-020</t>
  </si>
  <si>
    <t>未注册警号被拒绝</t>
  </si>
  <si>
    <t>登录与身份 &gt; 未注册警号被拒绝</t>
  </si>
  <si>
    <t>警号未注册</t>
  </si>
  <si>
    <t>1. 警号未注册
2. 输入警号并确认
3. 观察界面、协议、声音和资源状态
4. 保存相关日志</t>
  </si>
  <si>
    <t>收到拒绝应答后留在登录页并提示警号未注册，不进入定位页</t>
  </si>
  <si>
    <t>检查0x81结果码0x04，仅处理一次</t>
  </si>
  <si>
    <t>TC-021</t>
  </si>
  <si>
    <t>未注册拒绝保持Socket</t>
  </si>
  <si>
    <t>登录与身份 &gt; 未注册拒绝保持Socket</t>
  </si>
  <si>
    <t>TCP正常且服务端明确拒绝</t>
  </si>
  <si>
    <t>1. TCP正常且服务端明确拒绝
2. 执行未注册警号登录
3. 观察界面、协议、声音和资源状态
4. 保存相关日志</t>
  </si>
  <si>
    <t>TCP会话保持，不释放并不启动自动重连循环</t>
  </si>
  <si>
    <t>检查拒绝后无资源释放及重连定时器日志</t>
  </si>
  <si>
    <t>TC-022</t>
  </si>
  <si>
    <t>已登录警号拒绝</t>
  </si>
  <si>
    <t>登录与身份 &gt; 已登录警号拒绝</t>
  </si>
  <si>
    <t>同一警号已在另一设备登录</t>
  </si>
  <si>
    <t>1. 同一警号已在另一设备登录
2. 执行登录
3. 观察界面、协议、声音和资源状态
4. 保存相关日志</t>
  </si>
  <si>
    <t>按服务器结果提示已登录或对应原因，留在登录页</t>
  </si>
  <si>
    <t>检查应答结果码和提示</t>
  </si>
  <si>
    <t>TC-023</t>
  </si>
  <si>
    <t>登录无应答</t>
  </si>
  <si>
    <t>登录与身份 &gt; 登录无应答</t>
  </si>
  <si>
    <t>服务端不回复登录包</t>
  </si>
  <si>
    <t>1. 服务端不回复登录包
2. 确认登录并等待
3. 观察界面、协议、声音和资源状态
4. 保存相关日志</t>
  </si>
  <si>
    <t>进入既有网络异常/游客选择流程，不误判登录成功</t>
  </si>
  <si>
    <t>检查发送超时和异常分支</t>
  </si>
  <si>
    <t>TC-024</t>
  </si>
  <si>
    <t>快速重复点击登录</t>
  </si>
  <si>
    <t>登录与身份 &gt; 快速重复点击登录</t>
  </si>
  <si>
    <t>TCP正常</t>
  </si>
  <si>
    <t>1. TCP正常
2. 快速连续点击确认登录
3. 观察界面、协议、声音和资源状态
4. 保存相关日志</t>
  </si>
  <si>
    <t>同一时刻只有一个登录事务，页面仅由当前事务结果驱动</t>
  </si>
  <si>
    <t>检查request_cnt及事务标识</t>
  </si>
  <si>
    <t>TC-025</t>
  </si>
  <si>
    <t>快速用户切换</t>
  </si>
  <si>
    <t>登录与身份 &gt; 快速用户切换</t>
  </si>
  <si>
    <t>已登录用户A</t>
  </si>
  <si>
    <t>1. 已登录用户A
2. 返回登录页，连续切换A/B并登录
3. 观察界面、协议、声音和资源状态
4. 保存相关日志</t>
  </si>
  <si>
    <t>旧logged_in/joined状态和会话正确清理，不覆盖新事务</t>
  </si>
  <si>
    <t>检查退出、清理和新登录顺序</t>
  </si>
  <si>
    <t>TC-026</t>
  </si>
  <si>
    <t>登录前名单命中姓名</t>
  </si>
  <si>
    <t>登录与身份 &gt; 登录前名单命中姓名</t>
  </si>
  <si>
    <t>交互</t>
  </si>
  <si>
    <t>HTTP缓存包含本警号和中文名</t>
  </si>
  <si>
    <t>1. HTTP缓存包含本警号和中文名
2. 输入警号并登录成功
3. 观察界面、协议、声音和资源状态
4. 保存相关日志</t>
  </si>
  <si>
    <t>进入定位页首帧即可显示姓名，无明显延迟刷新</t>
  </si>
  <si>
    <t>检查缓存命中日志</t>
  </si>
  <si>
    <t>TC-027</t>
  </si>
  <si>
    <t>登录拒绝链路闭环</t>
  </si>
  <si>
    <t>登录与身份 &gt; 登录拒绝链路闭环</t>
  </si>
  <si>
    <t>协议</t>
  </si>
  <si>
    <t>服务端返回任意明确拒绝码</t>
  </si>
  <si>
    <t>1. 服务端返回任意明确拒绝码
2. 发起登录
3. 观察界面、协议、声音和资源状态
4. 保存相关日志</t>
  </si>
  <si>
    <t>应答视为本次事务完成，不自动重发登录包</t>
  </si>
  <si>
    <t>检查同一事务只有一次登录请求</t>
  </si>
  <si>
    <t>TC-028</t>
  </si>
  <si>
    <t>无网络强制登录入口</t>
  </si>
  <si>
    <t>游客模式 &gt; 无网络强制登录入口</t>
  </si>
  <si>
    <t>网络或TCP任一未连接</t>
  </si>
  <si>
    <t>1. 网络或TCP任一未连接
2. 点击登录
3. 观察界面、协议、声音和资源状态
4. 保存相关日志</t>
  </si>
  <si>
    <t>弹框增加无网强制登录说明，并显示取消/确认</t>
  </si>
  <si>
    <t>检查弹框文案和按钮</t>
  </si>
  <si>
    <t>TC-029</t>
  </si>
  <si>
    <t>取消强制登录</t>
  </si>
  <si>
    <t>游客模式 &gt; 取消强制登录</t>
  </si>
  <si>
    <t>强制登录弹框已显示</t>
  </si>
  <si>
    <t>1. 强制登录弹框已显示
2. 点击取消
3. 观察界面、协议、声音和资源状态
4. 保存相关日志</t>
  </si>
  <si>
    <t>弹框关闭，仍在登录页并继续等待网络恢复</t>
  </si>
  <si>
    <t>检查页面和连接状态</t>
  </si>
  <si>
    <t>TC-030</t>
  </si>
  <si>
    <t>确认游客登录</t>
  </si>
  <si>
    <t>游客模式 &gt; 确认游客登录</t>
  </si>
  <si>
    <t>1. 强制登录弹框已显示
2. 点击确认
3. 观察界面、协议、声音和资源状态
4. 保存相关日志</t>
  </si>
  <si>
    <t>进入定位一级页，状态栏警员编号显示游客</t>
  </si>
  <si>
    <t>检查身份状态guest</t>
  </si>
  <si>
    <t>TC-031</t>
  </si>
  <si>
    <t>游客不获取HTTP</t>
  </si>
  <si>
    <t>游客模式 &gt; 游客不获取HTTP</t>
  </si>
  <si>
    <t>已游客登录</t>
  </si>
  <si>
    <t>1. 已游客登录
2. 进入组呼和单呼页面
3. 观察界面、协议、声音和资源状态
4. 保存相关日志</t>
  </si>
  <si>
    <t>不要求HTTP名单，三级页为空且不加入任何组</t>
  </si>
  <si>
    <t>检查无HTTP请求和入组包</t>
  </si>
  <si>
    <t>TC-032</t>
  </si>
  <si>
    <t>游客PTT过滤</t>
  </si>
  <si>
    <t>游客模式 &gt; 游客PTT过滤</t>
  </si>
  <si>
    <t>游客身份且屏幕亮</t>
  </si>
  <si>
    <t>1. 游客身份且屏幕亮
2. 按PTT
3. 观察界面、协议、声音和资源状态
4. 保存相关日志</t>
  </si>
  <si>
    <t>提示游客身份，无法对讲，不发送抢麦包</t>
  </si>
  <si>
    <t>检查无PTT协议发送</t>
  </si>
  <si>
    <t>TC-033</t>
  </si>
  <si>
    <t>游客息屏PTT</t>
  </si>
  <si>
    <t>游客模式 &gt; 游客息屏PTT</t>
  </si>
  <si>
    <t>游客身份且息屏</t>
  </si>
  <si>
    <t>1. 游客身份且息屏
2. 按PTT
3. 观察界面、协议、声音和资源状态
4. 保存相关日志</t>
  </si>
  <si>
    <t>先唤醒屏幕，再提示游客身份无法对讲</t>
  </si>
  <si>
    <t>检查亮屏和无抢麦包</t>
  </si>
  <si>
    <t>TC-034</t>
  </si>
  <si>
    <t>游客网络恢复提醒</t>
  </si>
  <si>
    <t>游客模式 &gt; 游客网络恢复提醒</t>
  </si>
  <si>
    <t>游客登录后网络和TCP均恢复</t>
  </si>
  <si>
    <t>1. 游客登录后网络和TCP均恢复
2. 等待状态更新
3. 观察界面、协议、声音和资源状态
4. 保存相关日志</t>
  </si>
  <si>
    <t>弹框提示网络正常，是否重新登录</t>
  </si>
  <si>
    <t>检查仅在两者均成功后提示</t>
  </si>
  <si>
    <t>TC-035</t>
  </si>
  <si>
    <t>游客恢复取消</t>
  </si>
  <si>
    <t>游客模式 &gt; 游客恢复取消</t>
  </si>
  <si>
    <t>网络恢复弹框显示</t>
  </si>
  <si>
    <t>1. 网络恢复弹框显示
2. 点击取消
3. 观察界面、协议、声音和资源状态
4. 保存相关日志</t>
  </si>
  <si>
    <t>弹框关闭并保持游客身份</t>
  </si>
  <si>
    <t>检查页面和身份不变</t>
  </si>
  <si>
    <t>TC-036</t>
  </si>
  <si>
    <t>游客恢复确认</t>
  </si>
  <si>
    <t>游客模式 &gt; 游客恢复确认</t>
  </si>
  <si>
    <t>1. 网络恢复弹框显示
2. 点击确认
3. 观察界面、协议、声音和资源状态
4. 保存相关日志</t>
  </si>
  <si>
    <t>返回登录页，不发送退出登录TCP包</t>
  </si>
  <si>
    <t>检查无退出登录包</t>
  </si>
  <si>
    <t>TC-037</t>
  </si>
  <si>
    <t>游客用户切换</t>
  </si>
  <si>
    <t>游客模式 &gt; 游客用户切换</t>
  </si>
  <si>
    <t>游客身份</t>
  </si>
  <si>
    <t>1. 游客身份
2. 执行用户切换返回登录页
3. 观察界面、协议、声音和资源状态
4. 保存相关日志</t>
  </si>
  <si>
    <t>不发送退出登录TCP包</t>
  </si>
  <si>
    <t>检查发送队列</t>
  </si>
  <si>
    <t>TC-038</t>
  </si>
  <si>
    <t>登录前异步获取名单</t>
  </si>
  <si>
    <t>HTTP名单与POC权限 &gt; 登录前异步获取名单</t>
  </si>
  <si>
    <t>HTTP服务正常</t>
  </si>
  <si>
    <t>1. HTTP服务正常
2. 启动并停留登录页
3. 观察界面、协议、声音和资源状态
4. 保存相关日志</t>
  </si>
  <si>
    <t>临时线程获取名单；完成后退出，仅缓存数据且不入组</t>
  </si>
  <si>
    <t>检查HTTP线程开始/结束和缓存版本</t>
  </si>
  <si>
    <t>TC-039</t>
  </si>
  <si>
    <t>HTTP五秒超时</t>
  </si>
  <si>
    <t>HTTP名单与POC权限 &gt; HTTP五秒超时</t>
  </si>
  <si>
    <t>HTTP服务延迟超过5秒</t>
  </si>
  <si>
    <t>1. HTTP服务延迟超过5秒
2. 发起名单请求
3. 观察界面、协议、声音和资源状态
4. 保存相关日志</t>
  </si>
  <si>
    <t>请求按5秒超时结束，UI和通信线程不阻塞</t>
  </si>
  <si>
    <t>检查timeout参数与结束日志</t>
  </si>
  <si>
    <t>TC-040</t>
  </si>
  <si>
    <t>登录成功后迟到名单</t>
  </si>
  <si>
    <t>HTTP名单与POC权限 &gt; 登录成功后迟到名单</t>
  </si>
  <si>
    <t>登录成功时HTTP尚未返回</t>
  </si>
  <si>
    <t>1. 登录成功时HTTP尚未返回
2. 等待HTTP结果返回
3. 观察界面、协议、声音和资源状态
4. 保存相关日志</t>
  </si>
  <si>
    <t>若用户未操作组状态，则按结果自动加入第一个组</t>
  </si>
  <si>
    <t>检查缓存版本与自动入组日志</t>
  </si>
  <si>
    <t>TC-041</t>
  </si>
  <si>
    <t>迟到名单不覆盖用户操作</t>
  </si>
  <si>
    <t>HTTP名单与POC权限 &gt; 迟到名单不覆盖用户操作</t>
  </si>
  <si>
    <t>HTTP未返回时用户已主动选组或退组</t>
  </si>
  <si>
    <t>1. HTTP未返回时用户已主动选组或退组
2. 等待迟到结果
3. 观察界面、协议、声音和资源状态
4. 保存相关日志</t>
  </si>
  <si>
    <t>结果只更新名单，不覆盖用户已完成的组操作</t>
  </si>
  <si>
    <t>检查操作版本比较</t>
  </si>
  <si>
    <t>TC-042</t>
  </si>
  <si>
    <t>页面刷新名单</t>
  </si>
  <si>
    <t>HTTP名单与POC权限 &gt; 页面刷新名单</t>
  </si>
  <si>
    <t>已登录并进入对讲页面</t>
  </si>
  <si>
    <t>1. 已登录并进入对讲页面
2. 点击刷新
3. 观察界面、协议、声音和资源状态
4. 保存相关日志</t>
  </si>
  <si>
    <t>启动独立临时HTTP线程，UI和PTT业务保持可用</t>
  </si>
  <si>
    <t>检查刷新线程生命周期</t>
  </si>
  <si>
    <t>TC-043</t>
  </si>
  <si>
    <t>并发刷新去重</t>
  </si>
  <si>
    <t>HTTP名单与POC权限 &gt; 并发刷新去重</t>
  </si>
  <si>
    <t>一次HTTP请求进行中</t>
  </si>
  <si>
    <t>1. 一次HTTP请求进行中
2. 连续点击刷新
3. 观察界面、协议、声音和资源状态
4. 保存相关日志</t>
  </si>
  <si>
    <t>不重复创建并发请求，完成后允许下一次刷新</t>
  </si>
  <si>
    <t>检查仅一个活动请求</t>
  </si>
  <si>
    <t>TC-044</t>
  </si>
  <si>
    <t>完整HTTP数据日志</t>
  </si>
  <si>
    <t>HTTP名单与POC权限 &gt; 完整HTTP数据日志</t>
  </si>
  <si>
    <t>诊断</t>
  </si>
  <si>
    <t>HTTP返回成员数据</t>
  </si>
  <si>
    <t>1. HTTP返回成员数据
2. 执行获取
3. 观察界面、协议、声音和资源状态
4. 保存相关日志</t>
  </si>
  <si>
    <t>联调日志完整打印本次HTTP数据</t>
  </si>
  <si>
    <t>检查原始数据日志</t>
  </si>
  <si>
    <t>TC-045</t>
  </si>
  <si>
    <t>POC ON识别</t>
  </si>
  <si>
    <t>HTTP名单与POC权限 &gt; POC ON识别</t>
  </si>
  <si>
    <t>名单中本设备ID对应poc_enable=ON</t>
  </si>
  <si>
    <t>1. 名单中本设备ID对应poc_enable=ON
2. 处理名单
3. 观察界面、协议、声音和资源状态
4. 保存相关日志</t>
  </si>
  <si>
    <t>POC功能可用，组呼和单呼正常显示</t>
  </si>
  <si>
    <t>检查只读取本设备ID</t>
  </si>
  <si>
    <t>TC-046</t>
  </si>
  <si>
    <t>POC OFF立即退组</t>
  </si>
  <si>
    <t>HTTP名单与POC权限 &gt; POC OFF立即退组</t>
  </si>
  <si>
    <t>本设备已在组呼或临时单呼组</t>
  </si>
  <si>
    <t>1. 本设备已在组呼或临时单呼组
2. 名单刷新为poc_enable=OFF
3. 观察界面、协议、声音和资源状态
4. 保存相关日志</t>
  </si>
  <si>
    <t>立即退出当前组和临时单呼组，三级页面清空</t>
  </si>
  <si>
    <t>检查退组/解散发送与UI更新</t>
  </si>
  <si>
    <t>TC-047</t>
  </si>
  <si>
    <t>POC OFF亮屏PTT静默</t>
  </si>
  <si>
    <t>HTTP名单与POC权限 &gt; POC OFF亮屏PTT静默</t>
  </si>
  <si>
    <t>已确认poc_enable=OFF且屏幕亮</t>
  </si>
  <si>
    <t>1. 已确认poc_enable=OFF且屏幕亮
2. 按PTT
3. 观察界面、协议、声音和资源状态
4. 保存相关日志</t>
  </si>
  <si>
    <t>直接过滤，无弹框且不发送任何对讲包</t>
  </si>
  <si>
    <t>检查无UI提示和协议发送</t>
  </si>
  <si>
    <t>TC-048</t>
  </si>
  <si>
    <t>POC OFF息屏PTT</t>
  </si>
  <si>
    <t>HTTP名单与POC权限 &gt; POC OFF息屏PTT</t>
  </si>
  <si>
    <t>已确认poc_enable=OFF且息屏</t>
  </si>
  <si>
    <t>1. 已确认poc_enable=OFF且息屏
2. 按PTT
3. 观察界面、协议、声音和资源状态
4. 保存相关日志</t>
  </si>
  <si>
    <t>只恢复亮屏，之后静默过滤</t>
  </si>
  <si>
    <t>检查亮屏且无弹框/协议包</t>
  </si>
  <si>
    <t>TC-049</t>
  </si>
  <si>
    <t>POC状态未确认且断网</t>
  </si>
  <si>
    <t>HTTP名单与POC权限 &gt; POC状态未确认且断网</t>
  </si>
  <si>
    <t>HTTP未返回且网络/TCP异常</t>
  </si>
  <si>
    <t>1. HTTP未返回且网络/TCP异常
2. 按PTT
3. 观察界面、协议、声音和资源状态
4. 保存相关日志</t>
  </si>
  <si>
    <t>沿用网络/TCP连接中或失败提示</t>
  </si>
  <si>
    <t>检查提示分支</t>
  </si>
  <si>
    <t>TC-050</t>
  </si>
  <si>
    <t>忽略他人POC字段</t>
  </si>
  <si>
    <t>HTTP名单与POC权限 &gt; 忽略他人POC字段</t>
  </si>
  <si>
    <t>其他成员poc_enable=OFF，本设备为ON</t>
  </si>
  <si>
    <t>1. 其他成员poc_enable=OFF，本设备为ON
2. 处理名单
3. 观察界面、协议、声音和资源状态
4. 保存相关日志</t>
  </si>
  <si>
    <t>本设备对讲能力不受其他成员字段影响</t>
  </si>
  <si>
    <t>检查设备ID匹配</t>
  </si>
  <si>
    <t>TC-051</t>
  </si>
  <si>
    <t>异常POC字段</t>
  </si>
  <si>
    <t>HTTP名单与POC权限 &gt; 异常POC字段</t>
  </si>
  <si>
    <t>健壮性</t>
  </si>
  <si>
    <t>本设备字段缺失或值非法</t>
  </si>
  <si>
    <t>1. 本设备字段缺失或值非法
2. 处理名单并按PTT
3. 观察界面、协议、声音和资源状态
4. 保存相关日志</t>
  </si>
  <si>
    <t>不误判为已开通，记录异常并采用未确认策略</t>
  </si>
  <si>
    <t>检查字段校验日志</t>
  </si>
  <si>
    <t>TC-052</t>
  </si>
  <si>
    <t>一级页面横向切换</t>
  </si>
  <si>
    <t>UI导航 &gt; 一级页面横向切换</t>
  </si>
  <si>
    <t>已进入主界面</t>
  </si>
  <si>
    <t>1. 已进入主界面
2. 左右滑动切换定位、对讲、设置
3. 观察界面、协议、声音和资源状态
4. 保存相关日志</t>
  </si>
  <si>
    <t>页面切换正确，无残影和错位</t>
  </si>
  <si>
    <t>目视检查</t>
  </si>
  <si>
    <t>TC-053</t>
  </si>
  <si>
    <t>二级列表纵向滚动</t>
  </si>
  <si>
    <t>UI导航 &gt; 二级列表纵向滚动</t>
  </si>
  <si>
    <t>列表项目超过一屏</t>
  </si>
  <si>
    <t>1. 列表项目超过一屏
2. 上下滚动列表
3. 观察界面、协议、声音和资源状态
4. 保存相关日志</t>
  </si>
  <si>
    <t>滚动顺畅，点击目标正确</t>
  </si>
  <si>
    <t>检查无越界异常</t>
  </si>
  <si>
    <t>TC-054</t>
  </si>
  <si>
    <t>三级页面返回</t>
  </si>
  <si>
    <t>UI导航 &gt; 三级页面返回</t>
  </si>
  <si>
    <t>位于任意三级页面</t>
  </si>
  <si>
    <t>1. 位于任意三级页面
2. 点击返回
3. 观察界面、协议、声音和资源状态
4. 保存相关日志</t>
  </si>
  <si>
    <t>回到正确的上一级且状态刷新</t>
  </si>
  <si>
    <t>检查路由栈</t>
  </si>
  <si>
    <t>TC-055</t>
  </si>
  <si>
    <t>经纬度完整显示</t>
  </si>
  <si>
    <t>UI导航 &gt; 经纬度完整显示</t>
  </si>
  <si>
    <t>已获得定位</t>
  </si>
  <si>
    <t>1. 已获得定位
2. 查看定位一级页
3. 观察界面、协议、声音和资源状态
4. 保存相关日志</t>
  </si>
  <si>
    <t>经纬度使用16号字库显示完整小数，不被裁切</t>
  </si>
  <si>
    <t>目视检查坐标值</t>
  </si>
  <si>
    <t>TC-056</t>
  </si>
  <si>
    <t>时间星期位置</t>
  </si>
  <si>
    <t>UI导航 &gt; 时间星期位置</t>
  </si>
  <si>
    <t>定位一级页</t>
  </si>
  <si>
    <t>1. 定位一级页
2. 查看布局
3. 观察界面、协议、声音和资源状态
4. 保存相关日志</t>
  </si>
  <si>
    <t>时间和星期上移后的布局不遮挡坐标</t>
  </si>
  <si>
    <t>TC-057</t>
  </si>
  <si>
    <t>设置图标一致性</t>
  </si>
  <si>
    <t>UI导航 &gt; 设置图标一致性</t>
  </si>
  <si>
    <t>设置二级页资源完整</t>
  </si>
  <si>
    <t>1. 设置二级页资源完整
2. 进入设置页
3. 观察界面、协议、声音和资源状态
4. 保存相关日志</t>
  </si>
  <si>
    <t>使用到的图标为36x36空间，主体圆形视觉一致，背景与列表一致</t>
  </si>
  <si>
    <t>目视检查资源路径和色差</t>
  </si>
  <si>
    <t>TC-058</t>
  </si>
  <si>
    <t>页面图片加载</t>
  </si>
  <si>
    <t>UI导航 &gt; 页面图片加载</t>
  </si>
  <si>
    <t>资源</t>
  </si>
  <si>
    <t>JPG资源位于/ext约定路径</t>
  </si>
  <si>
    <t>1. JPG资源位于/ext约定路径
2. 逐页进入所有含图页面
3. 观察界面、协议、声音和资源状态
4. 保存相关日志</t>
  </si>
  <si>
    <t>所有图片正常加载，无缺图和花屏</t>
  </si>
  <si>
    <t>检查图片路径日志</t>
  </si>
  <si>
    <t>TC-059</t>
  </si>
  <si>
    <t>自动加入第一个组</t>
  </si>
  <si>
    <t>组呼 &gt; 自动加入第一个组</t>
  </si>
  <si>
    <t>登录成功且名单含组，用户未主动操作</t>
  </si>
  <si>
    <t>1. 登录成功且名单含组，用户未主动操作
2. 等待登录后处理
3. 观察界面、协议、声音和资源状态
4. 保存相关日志</t>
  </si>
  <si>
    <t>自动加入第一个可用组并更新当前组</t>
  </si>
  <si>
    <t>检查入组包和应答</t>
  </si>
  <si>
    <t>TC-060</t>
  </si>
  <si>
    <t>手动加入组</t>
  </si>
  <si>
    <t>组呼 &gt; 手动加入组</t>
  </si>
  <si>
    <t>有多个可用组</t>
  </si>
  <si>
    <t>1. 有多个可用组
2. 选择非当前组并确认
3. 观察界面、协议、声音和资源状态
4. 保存相关日志</t>
  </si>
  <si>
    <t>退出旧组后加入新组，页面显示正确成员</t>
  </si>
  <si>
    <t>检查协议顺序</t>
  </si>
  <si>
    <t>TC-061</t>
  </si>
  <si>
    <t>退出组呼</t>
  </si>
  <si>
    <t>组呼 &gt; 退出组呼</t>
  </si>
  <si>
    <t>当前已加入组</t>
  </si>
  <si>
    <t>1. 当前已加入组
2. 执行退组
3. 观察界面、协议、声音和资源状态
4. 保存相关日志</t>
  </si>
  <si>
    <t>发送退组协议，清理当前组和音频状态</t>
  </si>
  <si>
    <t>检查退组应答</t>
  </si>
  <si>
    <t>TC-062</t>
  </si>
  <si>
    <t>切组时清RTP缓存</t>
  </si>
  <si>
    <t>组呼 &gt; 切组时清RTP缓存</t>
  </si>
  <si>
    <t>音频</t>
  </si>
  <si>
    <t>正在接收旧组语音</t>
  </si>
  <si>
    <t>1. 正在接收旧组语音
2. 切换到新组
3. 观察界面、协议、声音和资源状态
4. 保存相关日志</t>
  </si>
  <si>
    <t>停止旧组播放并清空抖动缓冲，不播放残留语音</t>
  </si>
  <si>
    <t>检查缓存清理日志</t>
  </si>
  <si>
    <t>TC-063</t>
  </si>
  <si>
    <t>远端讲话通知0x0B</t>
  </si>
  <si>
    <t>组呼 &gt; 远端讲话通知0x0B</t>
  </si>
  <si>
    <t>当前加入对应组</t>
  </si>
  <si>
    <t>1. 当前加入对应组
2. 服务端下发0x0B
3. 观察界面、协议、声音和资源状态
4. 保存相关日志</t>
  </si>
  <si>
    <t>记录讲话人和UDP端口，启动播放并发送激活包</t>
  </si>
  <si>
    <t>检查组ID、姓名、UDP端口中文日志</t>
  </si>
  <si>
    <t>TC-064</t>
  </si>
  <si>
    <t>远端空闲通知0x0C</t>
  </si>
  <si>
    <t>组呼 &gt; 远端空闲通知0x0C</t>
  </si>
  <si>
    <t>正在接收远端语音</t>
  </si>
  <si>
    <t>1. 正在接收远端语音
2. 服务端下发0x0C
3. 观察界面、协议、声音和资源状态
4. 保存相关日志</t>
  </si>
  <si>
    <t>结束接收业务、关闭播放提示并将接收模式切回IDLE</t>
  </si>
  <si>
    <t>检查0x0C处理和缓存清理</t>
  </si>
  <si>
    <t>TC-065</t>
  </si>
  <si>
    <t>非当前组讲话</t>
  </si>
  <si>
    <t>组呼 &gt; 非当前组讲话</t>
  </si>
  <si>
    <t>加入组A，收到组B讲话通知</t>
  </si>
  <si>
    <t>1. 加入组A，收到组B讲话通知
2. 下发0x0B
3. 观察界面、协议、声音和资源状态
4. 保存相关日志</t>
  </si>
  <si>
    <t>不错误播放组B语音，按协议规则应答</t>
  </si>
  <si>
    <t>检查组ID过滤</t>
  </si>
  <si>
    <t>TC-066</t>
  </si>
  <si>
    <t>组呼断线恢复</t>
  </si>
  <si>
    <t>组呼 &gt; 组呼断线恢复</t>
  </si>
  <si>
    <t>恢复</t>
  </si>
  <si>
    <t>已加入组且非主动退组</t>
  </si>
  <si>
    <t>1. 已加入组且非主动退组
2. 断开并恢复TCP
3. 观察界面、协议、声音和资源状态
4. 保存相关日志</t>
  </si>
  <si>
    <t>重新登录后恢复原组，临时状态不重复</t>
  </si>
  <si>
    <t>检查重连和重新入组</t>
  </si>
  <si>
    <t>TC-067</t>
  </si>
  <si>
    <t>POC关闭时组页为空</t>
  </si>
  <si>
    <t>组呼 &gt; POC关闭时组页为空</t>
  </si>
  <si>
    <t>poc_enable=OFF</t>
  </si>
  <si>
    <t>1. poc_enable=OFF
2. 进入组呼三级页
3. 观察界面、协议、声音和资源状态
4. 保存相关日志</t>
  </si>
  <si>
    <t>页面无组和成员内容</t>
  </si>
  <si>
    <t>检查无入组动作</t>
  </si>
  <si>
    <t>TC-068</t>
  </si>
  <si>
    <t>发起单呼</t>
  </si>
  <si>
    <t>单呼 &gt; 发起单呼</t>
  </si>
  <si>
    <t>双方在线且POC开启</t>
  </si>
  <si>
    <t>1. 双方在线且POC开启
2. 选择成员发起单呼
3. 观察界面、协议、声音和资源状态
4. 保存相关日志</t>
  </si>
  <si>
    <t>创建临时单呼组并进入正确会话状态</t>
  </si>
  <si>
    <t>检查邀请和临时组日志</t>
  </si>
  <si>
    <t>TC-069</t>
  </si>
  <si>
    <t>接受单呼邀请</t>
  </si>
  <si>
    <t>单呼 &gt; 接受单呼邀请</t>
  </si>
  <si>
    <t>收到有效邀请且当前空闲</t>
  </si>
  <si>
    <t>1. 收到有效邀请且当前空闲
2. 点击接受
3. 观察界面、协议、声音和资源状态
4. 保存相关日志</t>
  </si>
  <si>
    <t>加入临时组并可正常对讲</t>
  </si>
  <si>
    <t>检查应答和入组</t>
  </si>
  <si>
    <t>TC-070</t>
  </si>
  <si>
    <t>拒绝单呼邀请</t>
  </si>
  <si>
    <t>单呼 &gt; 拒绝单呼邀请</t>
  </si>
  <si>
    <t>收到有效邀请</t>
  </si>
  <si>
    <t>1. 收到有效邀请
2. 点击拒绝
3. 观察界面、协议、声音和资源状态
4. 保存相关日志</t>
  </si>
  <si>
    <t>发送拒绝应答且不创建临时会话</t>
  </si>
  <si>
    <t>检查拒绝包</t>
  </si>
  <si>
    <t>TC-071</t>
  </si>
  <si>
    <t>对方拒绝邀请</t>
  </si>
  <si>
    <t>单呼 &gt; 对方拒绝邀请</t>
  </si>
  <si>
    <t>已发起邀请</t>
  </si>
  <si>
    <t>1. 已发起邀请
2. 对方拒绝
3. 观察界面、协议、声音和资源状态
4. 保存相关日志</t>
  </si>
  <si>
    <t>提示拒绝并恢复空闲状态</t>
  </si>
  <si>
    <t>检查状态机清理</t>
  </si>
  <si>
    <t>TC-072</t>
  </si>
  <si>
    <t>解散单呼</t>
  </si>
  <si>
    <t>单呼 &gt; 解散单呼</t>
  </si>
  <si>
    <t>处于单呼临时组</t>
  </si>
  <si>
    <t>1. 处于单呼临时组
2. 任一方结束单呼
3. 观察界面、协议、声音和资源状态
4. 保存相关日志</t>
  </si>
  <si>
    <t>解散临时组并恢复之前组呼状态</t>
  </si>
  <si>
    <t>检查解散协议和恢复</t>
  </si>
  <si>
    <t>TC-073</t>
  </si>
  <si>
    <t>重连不恢复临时组</t>
  </si>
  <si>
    <t>单呼 &gt; 重连不恢复临时组</t>
  </si>
  <si>
    <t>单呼过程中TCP断开</t>
  </si>
  <si>
    <t>1. 单呼过程中TCP断开
2. 等待重连
3. 观察界面、协议、声音和资源状态
4. 保存相关日志</t>
  </si>
  <si>
    <t>临时组清理，不自动恢复已失效的单呼</t>
  </si>
  <si>
    <t>检查临时组不可恢复日志</t>
  </si>
  <si>
    <t>TC-074</t>
  </si>
  <si>
    <t>OTA期间拒绝邀请</t>
  </si>
  <si>
    <t>单呼 &gt; OTA期间拒绝邀请</t>
  </si>
  <si>
    <t>已确认OTA并处于升级流程</t>
  </si>
  <si>
    <t>1. 已确认OTA并处于升级流程
2. 收到单呼邀请
3. 观察界面、协议、声音和资源状态
4. 保存相关日志</t>
  </si>
  <si>
    <t>自动发送拒绝邀请，不打断OTA</t>
  </si>
  <si>
    <t>检查拒绝包和OTA状态</t>
  </si>
  <si>
    <t>TC-075</t>
  </si>
  <si>
    <t>POC关闭清临时组</t>
  </si>
  <si>
    <t>单呼 &gt; POC关闭清临时组</t>
  </si>
  <si>
    <t>正在单呼</t>
  </si>
  <si>
    <t>1. 正在单呼
2. HTTP刷新为OFF
3. 观察界面、协议、声音和资源状态
4. 保存相关日志</t>
  </si>
  <si>
    <t>立即退出并清理临时单呼组</t>
  </si>
  <si>
    <t>检查清理日志</t>
  </si>
  <si>
    <t>TC-076</t>
  </si>
  <si>
    <t>成员离线显示</t>
  </si>
  <si>
    <t>单呼 &gt; 成员离线显示</t>
  </si>
  <si>
    <t>名单中成员online=false</t>
  </si>
  <si>
    <t>1. 名单中成员online=false
2. 进入单呼成员页
3. 观察界面、协议、声音和资源状态
4. 保存相关日志</t>
  </si>
  <si>
    <t>离线状态按当前实现显示且不可错误呼叫</t>
  </si>
  <si>
    <t>检查成员数据</t>
  </si>
  <si>
    <t>TC-077</t>
  </si>
  <si>
    <t>空闲按下PTT抢麦</t>
  </si>
  <si>
    <t>PTT与麦权 &gt; 空闲按下PTT抢麦</t>
  </si>
  <si>
    <t>已登录、POC开启且已入组</t>
  </si>
  <si>
    <t>1. 已登录、POC开启且已入组
2. 按下GPIO29
3. 观察界面、协议、声音和资源状态
4. 保存相关日志</t>
  </si>
  <si>
    <t>亮屏并发送抢麦请求，成功后进入发送语音状态</t>
  </si>
  <si>
    <t>检查PTT状态、抢麦包及麦权成功</t>
  </si>
  <si>
    <t>TC-078</t>
  </si>
  <si>
    <t>松开PTT释放麦权</t>
  </si>
  <si>
    <t>PTT与麦权 &gt; 松开PTT释放麦权</t>
  </si>
  <si>
    <t>本机持有麦权</t>
  </si>
  <si>
    <t>1. 本机持有麦权
2. 松开GPIO29
3. 观察界面、协议、声音和资源状态
4. 保存相关日志</t>
  </si>
  <si>
    <t>停止语音发送并发送释放麦权请求</t>
  </si>
  <si>
    <t>检查释放包和音频停止</t>
  </si>
  <si>
    <t>TC-079</t>
  </si>
  <si>
    <t>抢麦失败</t>
  </si>
  <si>
    <t>PTT与麦权 &gt; 抢麦失败</t>
  </si>
  <si>
    <t>麦权被占用或服务端拒绝</t>
  </si>
  <si>
    <t>1. 麦权被占用或服务端拒绝
2. 按PTT
3. 观察界面、协议、声音和资源状态
4. 保存相关日志</t>
  </si>
  <si>
    <t>不发送RTP语音，提示对应状态并恢复空闲</t>
  </si>
  <si>
    <t>检查拒绝结果</t>
  </si>
  <si>
    <t>TC-080</t>
  </si>
  <si>
    <t>远端占用时按PTT</t>
  </si>
  <si>
    <t>PTT与麦权 &gt; 远端占用时按PTT</t>
  </si>
  <si>
    <t>冲突</t>
  </si>
  <si>
    <t>正在接收远端讲话</t>
  </si>
  <si>
    <t>1. 正在接收远端讲话
2. 按PTT
3. 观察界面、协议、声音和资源状态
4. 保存相关日志</t>
  </si>
  <si>
    <t>按麦权规则拒绝或过滤，不破坏当前接收会话</t>
  </si>
  <si>
    <t>检查无并发发音频</t>
  </si>
  <si>
    <t>TC-081</t>
  </si>
  <si>
    <t>抢麦UDP端口日志</t>
  </si>
  <si>
    <t>PTT与麦权 &gt; 抢麦UDP端口日志</t>
  </si>
  <si>
    <t>服务端抢麦成功应答含UDP端口</t>
  </si>
  <si>
    <t>1. 服务端抢麦成功应答含UDP端口
2. 按PTT并成功
3. 观察界面、协议、声音和资源状态
4. 保存相关日志</t>
  </si>
  <si>
    <t>中文日志打印服务器UDP端口号</t>
  </si>
  <si>
    <t>检查端口值准确</t>
  </si>
  <si>
    <t>TC-082</t>
  </si>
  <si>
    <t>语音发送端口日志一次</t>
  </si>
  <si>
    <t>PTT与麦权 &gt; 语音发送端口日志一次</t>
  </si>
  <si>
    <t>本机开始发送多包RTP</t>
  </si>
  <si>
    <t>1. 本机开始发送多包RTP
2. 持续讲话3秒
3. 观察界面、协议、声音和资源状态
4. 保存相关日志</t>
  </si>
  <si>
    <t>仅在本次语音开始时打印一次目标UDP端口</t>
  </si>
  <si>
    <t>统计日志次数为1</t>
  </si>
  <si>
    <t>TC-083</t>
  </si>
  <si>
    <t>息屏PTT</t>
  </si>
  <si>
    <t>PTT与麦权 &gt; 息屏PTT</t>
  </si>
  <si>
    <t>已登录且息屏</t>
  </si>
  <si>
    <t>1. 已登录且息屏
2. 按PTT
3. 观察界面、协议、声音和资源状态
4. 保存相关日志</t>
  </si>
  <si>
    <t>立即恢复亮屏，同时正常执行抢麦和讲话流程</t>
  </si>
  <si>
    <t>检查亮屏与抢麦并行</t>
  </si>
  <si>
    <t>TC-084</t>
  </si>
  <si>
    <t>PTT按键防抖</t>
  </si>
  <si>
    <t>PTT与麦权 &gt; PTT按键防抖</t>
  </si>
  <si>
    <t>硬件</t>
  </si>
  <si>
    <t>可模拟按键抖动</t>
  </si>
  <si>
    <t>1. 可模拟按键抖动
2. 一次按下/松开产生多次边沿
3. 观察界面、协议、声音和资源状态
4. 保存相关日志</t>
  </si>
  <si>
    <t>30ms防抖后只产生一次按下和一次松开事件</t>
  </si>
  <si>
    <t>检查事件计数</t>
  </si>
  <si>
    <t>TC-085</t>
  </si>
  <si>
    <t>OTA期间过滤PTT</t>
  </si>
  <si>
    <t>PTT与麦权 &gt; OTA期间过滤PTT</t>
  </si>
  <si>
    <t>OTA升级已确认</t>
  </si>
  <si>
    <t>1. OTA升级已确认
2. 按下/松开PTT
3. 观察界面、协议、声音和资源状态
4. 保存相关日志</t>
  </si>
  <si>
    <t>不执行抢麦、入组或语音发送</t>
  </si>
  <si>
    <t>检查无相关协议</t>
  </si>
  <si>
    <t>TC-086</t>
  </si>
  <si>
    <t>网络异常按PTT</t>
  </si>
  <si>
    <t>PTT与麦权 &gt; 网络异常按PTT</t>
  </si>
  <si>
    <t>POC未确认且TCP断开</t>
  </si>
  <si>
    <t>1. POC未确认且TCP断开
2. 按PTT
3. 观察界面、协议、声音和资源状态
4. 保存相关日志</t>
  </si>
  <si>
    <t>显示网络/TCP连接中或失败，不发送抢麦包</t>
  </si>
  <si>
    <t>检查提示与发送队列</t>
  </si>
  <si>
    <t>TC-087</t>
  </si>
  <si>
    <t>接收Worker开机IDLE</t>
  </si>
  <si>
    <t>RTP音频 &gt; 接收Worker开机IDLE</t>
  </si>
  <si>
    <t>架构</t>
  </si>
  <si>
    <t>设备刚启动</t>
  </si>
  <si>
    <t>1. 设备刚启动
2. 检查RTP Worker
3. 观察界面、协议、声音和资源状态
4. 保存相关日志</t>
  </si>
  <si>
    <t>默认永久阻塞recvfrom，不进行20ms轮询</t>
  </si>
  <si>
    <t>检查接收模式日志</t>
  </si>
  <si>
    <t>TC-088</t>
  </si>
  <si>
    <t>首个有效RTP进入ACTIVE</t>
  </si>
  <si>
    <t>RTP音频 &gt; 首个有效RTP进入ACTIVE</t>
  </si>
  <si>
    <t>已有0x0B麦权占用标志</t>
  </si>
  <si>
    <t>1. 已有0x0B麦权占用标志
2. UDP收到首个有效RTP包
3. 观察界面、协议、声音和资源状态
4. 保存相关日志</t>
  </si>
  <si>
    <t>切换为20ms短超时接收并启动抖动缓冲</t>
  </si>
  <si>
    <t>检查状态切换</t>
  </si>
  <si>
    <t>TC-089</t>
  </si>
  <si>
    <t>无麦权标志的UDP包</t>
  </si>
  <si>
    <t>RTP音频 &gt; 无麦权标志的UDP包</t>
  </si>
  <si>
    <t>安全</t>
  </si>
  <si>
    <t>未收到0x0B</t>
  </si>
  <si>
    <t>1. 未收到0x0B
2. 注入UDP/RTP包
3. 观察界面、协议、声音和资源状态
4. 保存相关日志</t>
  </si>
  <si>
    <t>不错误进入语音播放状态</t>
  </si>
  <si>
    <t>检查包过滤</t>
  </si>
  <si>
    <t>TC-090</t>
  </si>
  <si>
    <t>首包激活立即发送</t>
  </si>
  <si>
    <t>RTP音频 &gt; 首包激活立即发送</t>
  </si>
  <si>
    <t>收到远端讲话0x0B</t>
  </si>
  <si>
    <t>1. 收到远端讲话0x0B
2. 处理通知
3. 观察界面、协议、声音和资源状态
4. 保存相关日志</t>
  </si>
  <si>
    <t>立即向通知中的服务器UDP端口发送第1个激活包</t>
  </si>
  <si>
    <t>检查发送时间和端口</t>
  </si>
  <si>
    <t>TC-091</t>
  </si>
  <si>
    <t>500ms激活重发1</t>
  </si>
  <si>
    <t>RTP音频 &gt; 500ms激活重发1</t>
  </si>
  <si>
    <t>激活后500ms无有效RTP</t>
  </si>
  <si>
    <t>1. 激活后500ms无有效RTP
2. 等待500ms
3. 观察界面、协议、声音和资源状态
4. 保存相关日志</t>
  </si>
  <si>
    <t>CommunicationSendWorker重发第1次</t>
  </si>
  <si>
    <t>检查重试序号和时间</t>
  </si>
  <si>
    <t>TC-092</t>
  </si>
  <si>
    <t>1000ms激活重发2</t>
  </si>
  <si>
    <t>RTP音频 &gt; 1000ms激活重发2</t>
  </si>
  <si>
    <t>第二次发送后仍无有效RTP</t>
  </si>
  <si>
    <t>1. 第二次发送后仍无有效RTP
2. 再等待500ms
3. 观察界面、协议、声音和资源状态
4. 保存相关日志</t>
  </si>
  <si>
    <t>重发第2次</t>
  </si>
  <si>
    <t>检查累计时间约1000ms</t>
  </si>
  <si>
    <t>TC-093</t>
  </si>
  <si>
    <t>1500ms首包超时</t>
  </si>
  <si>
    <t>RTP音频 &gt; 1500ms首包超时</t>
  </si>
  <si>
    <t>三次激活后仍无有效RTP</t>
  </si>
  <si>
    <t>1. 三次激活后仍无有效RTP
2. 再等待500ms
3. 观察界面、协议、声音和资源状态
4. 保存相关日志</t>
  </si>
  <si>
    <t>打印首包超时并清除重试状态，不再重发</t>
  </si>
  <si>
    <t>检查累计时间和发送总数3</t>
  </si>
  <si>
    <t>TC-094</t>
  </si>
  <si>
    <t>有效首包取消激活重试</t>
  </si>
  <si>
    <t>RTP音频 &gt; 有效首包取消激活重试</t>
  </si>
  <si>
    <t>激活重试进行中</t>
  </si>
  <si>
    <t>1. 激活重试进行中
2. 在任意截止前收到有效RTP
3. 观察界面、协议、声音和资源状态
4. 保存相关日志</t>
  </si>
  <si>
    <t>立即清除激活重试状态，后续不再发送</t>
  </si>
  <si>
    <t>检查取消日志</t>
  </si>
  <si>
    <t>TC-095</t>
  </si>
  <si>
    <t>本机PTT不启用接收重试</t>
  </si>
  <si>
    <t>RTP音频 &gt; 本机PTT不启用接收重试</t>
  </si>
  <si>
    <t>边界</t>
  </si>
  <si>
    <t>本机持有麦权并发送语音</t>
  </si>
  <si>
    <t>1. 本机持有麦权并发送语音
2. 观察激活机制
3. 观察界面、协议、声音和资源状态
4. 保存相关日志</t>
  </si>
  <si>
    <t>不以收不到本机语音为由触发接收首包重试</t>
  </si>
  <si>
    <t>检查重试状态未创建</t>
  </si>
  <si>
    <t>TC-096</t>
  </si>
  <si>
    <t>起播缓存5包</t>
  </si>
  <si>
    <t>RTP音频 &gt; 起播缓存5包</t>
  </si>
  <si>
    <t>连续收到有序RTP</t>
  </si>
  <si>
    <t>1. 连续收到有序RTP
2. 发送前4包再发送第5包
3. 观察界面、协议、声音和资源状态
4. 保存相关日志</t>
  </si>
  <si>
    <t>前4包不播放，第5包到达后开始连续播放，约100ms缓存</t>
  </si>
  <si>
    <t>检查播放启动点</t>
  </si>
  <si>
    <t>TC-097</t>
  </si>
  <si>
    <t>最大缓存24包</t>
  </si>
  <si>
    <t>RTP音频 &gt; 最大缓存24包</t>
  </si>
  <si>
    <t>压力</t>
  </si>
  <si>
    <t>播放消费变慢</t>
  </si>
  <si>
    <t>1. 播放消费变慢
2. 快速注入超过24包
3. 观察界面、协议、声音和资源状态
4. 保存相关日志</t>
  </si>
  <si>
    <t>缓存不无限增长，按策略丢弃或重同步</t>
  </si>
  <si>
    <t>检查缓存深度</t>
  </si>
  <si>
    <t>TC-098</t>
  </si>
  <si>
    <t>乱序包排序</t>
  </si>
  <si>
    <t>RTP音频 &gt; 乱序包排序</t>
  </si>
  <si>
    <t>麦权有效</t>
  </si>
  <si>
    <t>1. 麦权有效
2. 按100、102、101、103顺序发送
3. 观察界面、协议、声音和资源状态
4. 保存相关日志</t>
  </si>
  <si>
    <t>按100、101、102、103播放</t>
  </si>
  <si>
    <t>检查输出序号</t>
  </si>
  <si>
    <t>TC-099</t>
  </si>
  <si>
    <t>重复包丢弃</t>
  </si>
  <si>
    <t>RTP音频 &gt; 重复包丢弃</t>
  </si>
  <si>
    <t>1. 麦权有效
2. 重复发送相同序号
3. 观察界面、协议、声音和资源状态
4. 保存相关日志</t>
  </si>
  <si>
    <t>重复包不重复播放</t>
  </si>
  <si>
    <t>检查重复包处理</t>
  </si>
  <si>
    <t>TC-100</t>
  </si>
  <si>
    <t>迟到包丢弃</t>
  </si>
  <si>
    <t>RTP音频 &gt; 迟到包丢弃</t>
  </si>
  <si>
    <t>播放序号已越过目标</t>
  </si>
  <si>
    <t>1. 播放序号已越过目标
2. 发送过期序号包
3. 观察界面、协议、声音和资源状态
4. 保存相关日志</t>
  </si>
  <si>
    <t>过期包直接丢弃，不回退播放</t>
  </si>
  <si>
    <t>检查迟到包日志</t>
  </si>
  <si>
    <t>TC-101</t>
  </si>
  <si>
    <t>16位序号回绕</t>
  </si>
  <si>
    <t>RTP音频 &gt; 16位序号回绕</t>
  </si>
  <si>
    <t>序号接近65535</t>
  </si>
  <si>
    <t>1. 序号接近65535
2. 发送65534、65535、0、1
3. 观察界面、协议、声音和资源状态
4. 保存相关日志</t>
  </si>
  <si>
    <t>正确连续排序和播放</t>
  </si>
  <si>
    <t>检查无错误重同步</t>
  </si>
  <si>
    <t>TC-102</t>
  </si>
  <si>
    <t>小范围丢包补静音</t>
  </si>
  <si>
    <t>RTP音频 &gt; 小范围丢包补静音</t>
  </si>
  <si>
    <t>正常播放中</t>
  </si>
  <si>
    <t>1. 正常播放中
2. 缺少一个或少量连续序号
3. 观察界面、协议、声音和资源状态
4. 保存相关日志</t>
  </si>
  <si>
    <t>按播放节奏用0xD5静音帧补齐，后续语音继续</t>
  </si>
  <si>
    <t>检查静音帧和序号推进</t>
  </si>
  <si>
    <t>TC-103</t>
  </si>
  <si>
    <t>大跨度重同步</t>
  </si>
  <si>
    <t>RTP音频 &gt; 大跨度重同步</t>
  </si>
  <si>
    <t>序号突然大幅跳变</t>
  </si>
  <si>
    <t>1. 序号突然大幅跳变
2. 注入远距离有效包
3. 观察界面、协议、声音和资源状态
4. 保存相关日志</t>
  </si>
  <si>
    <t>放弃无意义的大量补帧，重同步到最近有效包</t>
  </si>
  <si>
    <t>检查重同步日志</t>
  </si>
  <si>
    <t>TC-104</t>
  </si>
  <si>
    <t>五秒无RTP切IDLE</t>
  </si>
  <si>
    <t>RTP音频 &gt; 五秒无RTP切IDLE</t>
  </si>
  <si>
    <t>性能</t>
  </si>
  <si>
    <t>处于20ms接收态且业务会话仍在</t>
  </si>
  <si>
    <t>1. 处于20ms接收态且业务会话仍在
2. 停止RTP超过5秒且不发0x0C
3. 观察界面、协议、声音和资源状态
4. 保存相关日志</t>
  </si>
  <si>
    <t>仅将Socket接收切回永久阻塞，不关闭喇叭/弹框或结束PTT业务</t>
  </si>
  <si>
    <t>检查仅接收模式变化</t>
  </si>
  <si>
    <t>TC-105</t>
  </si>
  <si>
    <t>IDLE后新RTP再激活</t>
  </si>
  <si>
    <t>RTP音频 &gt; IDLE后新RTP再激活</t>
  </si>
  <si>
    <t>因5秒无包已切永久阻塞但麦权标志仍在</t>
  </si>
  <si>
    <t>1. 因5秒无包已切永久阻塞但麦权标志仍在
2. 再次收到有效RTP
3. 观察界面、协议、声音和资源状态
4. 保存相关日志</t>
  </si>
  <si>
    <t>重新切换20ms模式并继续缓冲播放</t>
  </si>
  <si>
    <t>检查模式切换</t>
  </si>
  <si>
    <t>TC-106</t>
  </si>
  <si>
    <t>0x0C提前切IDLE</t>
  </si>
  <si>
    <t>RTP音频 &gt; 0x0C提前切IDLE</t>
  </si>
  <si>
    <t>20ms接收态未满5秒</t>
  </si>
  <si>
    <t>1. 20ms接收态未满5秒
2. 收到0x0C
3. 观察界面、协议、声音和资源状态
4. 保存相关日志</t>
  </si>
  <si>
    <t>立即结束业务并切永久阻塞，不等待5秒</t>
  </si>
  <si>
    <t>检查或关系触发</t>
  </si>
  <si>
    <t>TC-107</t>
  </si>
  <si>
    <t>退组切IDLE</t>
  </si>
  <si>
    <t>RTP音频 &gt; 退组切IDLE</t>
  </si>
  <si>
    <t>20ms接收态</t>
  </si>
  <si>
    <t>1. 20ms接收态
2. 执行退组
3. 观察界面、协议、声音和资源状态
4. 保存相关日志</t>
  </si>
  <si>
    <t>立即清缓存并切永久阻塞</t>
  </si>
  <si>
    <t>检查接收模式</t>
  </si>
  <si>
    <t>TC-108</t>
  </si>
  <si>
    <t>重连切IDLE</t>
  </si>
  <si>
    <t>RTP音频 &gt; 重连切IDLE</t>
  </si>
  <si>
    <t>1. 20ms接收态
2. 触发UDP/TCP重连
3. 观察界面、协议、声音和资源状态
4. 保存相关日志</t>
  </si>
  <si>
    <t>释放旧会话、清缓存并使新Worker从IDLE开始</t>
  </si>
  <si>
    <t>检查Socket生命周期</t>
  </si>
  <si>
    <t>TC-109</t>
  </si>
  <si>
    <t>PCM四周期缓冲</t>
  </si>
  <si>
    <t>RTP音频 &gt; PCM四周期缓冲</t>
  </si>
  <si>
    <t>正常接收语音</t>
  </si>
  <si>
    <t>1. 正常接收语音
2. 持续播放
3. 观察界面、协议、声音和资源状态
4. 保存相关日志</t>
  </si>
  <si>
    <t>底层PCM保持4个周期缓冲，声音连续且无明显破音</t>
  </si>
  <si>
    <t>检查音频初始化参数</t>
  </si>
  <si>
    <t>TC-110</t>
  </si>
  <si>
    <t>TCP心跳</t>
  </si>
  <si>
    <t>TCP通信 &gt; TCP心跳</t>
  </si>
  <si>
    <t>已连接TCP</t>
  </si>
  <si>
    <t>1. 已连接TCP
2. 等待心跳周期
3. 观察界面、协议、声音和资源状态
4. 保存相关日志</t>
  </si>
  <si>
    <t>发送0x02并匹配0x82应答，request_cnt正确</t>
  </si>
  <si>
    <t>检查心跳日志</t>
  </si>
  <si>
    <t>TC-111</t>
  </si>
  <si>
    <t>TCP粘包拆包</t>
  </si>
  <si>
    <t>TCP通信 &gt; TCP粘包拆包</t>
  </si>
  <si>
    <t>可注入连续帧</t>
  </si>
  <si>
    <t>1. 可注入连续帧
2. 一次recv送入多帧及半帧
3. 观察界面、协议、声音和资源状态
4. 保存相关日志</t>
  </si>
  <si>
    <t>正确缓存、拆分并逐帧处理</t>
  </si>
  <si>
    <t>检查帧类型和长度</t>
  </si>
  <si>
    <t>TC-112</t>
  </si>
  <si>
    <t>未知消息类型</t>
  </si>
  <si>
    <t>TCP通信 &gt; 未知消息类型</t>
  </si>
  <si>
    <t>1. TCP正常
2. 下发未知msg_type
3. 观察界面、协议、声音和资源状态
4. 保存相关日志</t>
  </si>
  <si>
    <t>记录并忽略，不导致Worker退出</t>
  </si>
  <si>
    <t>检查异常帧日志</t>
  </si>
  <si>
    <t>TC-113</t>
  </si>
  <si>
    <t>request_cnt回绕</t>
  </si>
  <si>
    <t>TCP通信 &gt; request_cnt回绕</t>
  </si>
  <si>
    <t>计数接近uint16上限</t>
  </si>
  <si>
    <t>1. 计数接近uint16上限
2. 连续发送跨越65535
3. 观察界面、协议、声音和资源状态
4. 保存相关日志</t>
  </si>
  <si>
    <t>按uint16回绕且应答匹配正常</t>
  </si>
  <si>
    <t>检查计数序列</t>
  </si>
  <si>
    <t>TC-114</t>
  </si>
  <si>
    <t>优先应答发送</t>
  </si>
  <si>
    <t>TCP通信 &gt; 优先应答发送</t>
  </si>
  <si>
    <t>收到需应答的服务器通知</t>
  </si>
  <si>
    <t>1. 收到需应答的服务器通知
2. 处理通知
3. 观察界面、协议、声音和资源状态
4. 保存相关日志</t>
  </si>
  <si>
    <t>由发送Worker及时发送对应0x8B/0x8C等应答</t>
  </si>
  <si>
    <t>检查响应类型和计数</t>
  </si>
  <si>
    <t>TC-115</t>
  </si>
  <si>
    <t>发送队列串行化</t>
  </si>
  <si>
    <t>TCP通信 &gt; 发送队列串行化</t>
  </si>
  <si>
    <t>同时触发心跳、PTT和通知应答</t>
  </si>
  <si>
    <t>1. 同时触发心跳、PTT和通知应答
2. 并发提交发送
3. 观察界面、协议、声音和资源状态
4. 保存相关日志</t>
  </si>
  <si>
    <t>TCP写操作串行且帧内容不交叉</t>
  </si>
  <si>
    <t>检查发送顺序和帧完整性</t>
  </si>
  <si>
    <t>TC-116</t>
  </si>
  <si>
    <t>TCP被动断开</t>
  </si>
  <si>
    <t>断线重连 &gt; TCP被动断开</t>
  </si>
  <si>
    <t>已正式登录</t>
  </si>
  <si>
    <t>1. 已正式登录
2. 服务器关闭连接
3. 观察界面、协议、声音和资源状态
4. 保存相关日志</t>
  </si>
  <si>
    <t>检测断开、释放旧通信资源并启动3秒重连定时器</t>
  </si>
  <si>
    <t>检查状态reconnecting</t>
  </si>
  <si>
    <t>TC-117</t>
  </si>
  <si>
    <t>重连成功自动登录</t>
  </si>
  <si>
    <t>断线重连 &gt; 重连成功自动登录</t>
  </si>
  <si>
    <t>注册警号且网络恢复</t>
  </si>
  <si>
    <t>1. 注册警号且网络恢复
2. 等待Timer唤醒
3. 观察界面、协议、声音和资源状态
4. 保存相关日志</t>
  </si>
  <si>
    <t>TCP成功后重建UDP和Worker，自动重新登录</t>
  </si>
  <si>
    <t>检查重连流程</t>
  </si>
  <si>
    <t>TC-118</t>
  </si>
  <si>
    <t>重连恢复组呼</t>
  </si>
  <si>
    <t>断线重连 &gt; 重连恢复组呼</t>
  </si>
  <si>
    <t>断线前加入组呼</t>
  </si>
  <si>
    <t>1. 断线前加入组呼
2. 完成重连登录
3. 观察界面、协议、声音和资源状态
4. 保存相关日志</t>
  </si>
  <si>
    <t>恢复原组呼，临时单呼不恢复</t>
  </si>
  <si>
    <t>检查组状态</t>
  </si>
  <si>
    <t>TC-119</t>
  </si>
  <si>
    <t>重连失败持续等待</t>
  </si>
  <si>
    <t>断线重连 &gt; 重连失败持续等待</t>
  </si>
  <si>
    <t>服务器持续不可达</t>
  </si>
  <si>
    <t>1. 服务器持续不可达
2. 观察多轮重连
3. 观察界面、协议、声音和资源状态
4. 保存相关日志</t>
  </si>
  <si>
    <t>按3秒节奏重试且不阻塞UI</t>
  </si>
  <si>
    <t>检查Timer尝试次数</t>
  </si>
  <si>
    <t>TC-120</t>
  </si>
  <si>
    <t>登录拒绝不触发重连</t>
  </si>
  <si>
    <t>断线重连 &gt; 登录拒绝不触发重连</t>
  </si>
  <si>
    <t>回归</t>
  </si>
  <si>
    <t>Socket正常且服务器回复拒绝</t>
  </si>
  <si>
    <t>1. Socket正常且服务器回复拒绝
2. 使用未注册警号登录
3. 观察界面、协议、声音和资源状态
4. 保存相关日志</t>
  </si>
  <si>
    <t>不进入断线重连流程</t>
  </si>
  <si>
    <t>检查无reconnecting</t>
  </si>
  <si>
    <t>TC-121</t>
  </si>
  <si>
    <t>旧Worker完全退出</t>
  </si>
  <si>
    <t>断线重连 &gt; 旧Worker完全退出</t>
  </si>
  <si>
    <t>制造多次断线恢复</t>
  </si>
  <si>
    <t>1. 制造多次断线恢复
2. 重复断线10次
3. 观察界面、协议、声音和资源状态
4. 保存相关日志</t>
  </si>
  <si>
    <t>每次旧TCP/RTP/发送Worker退出，不累积线程和Socket</t>
  </si>
  <si>
    <t>检查资源计数</t>
  </si>
  <si>
    <t>TC-122</t>
  </si>
  <si>
    <t>迟到应答过滤</t>
  </si>
  <si>
    <t>断线重连 &gt; 迟到应答过滤</t>
  </si>
  <si>
    <t>旧会话请求已取消</t>
  </si>
  <si>
    <t>1. 旧会话请求已取消
2. 在新会话到达后注入旧应答
3. 观察界面、协议、声音和资源状态
4. 保存相关日志</t>
  </si>
  <si>
    <t>根据事务或计数过滤，不污染新状态</t>
  </si>
  <si>
    <t>检查过滤日志</t>
  </si>
  <si>
    <t>TC-123</t>
  </si>
  <si>
    <t>GNSS初始化</t>
  </si>
  <si>
    <t>GNSS定位 &gt; GNSS初始化</t>
  </si>
  <si>
    <t>天线和环境正常</t>
  </si>
  <si>
    <t>1. 天线和环境正常
2. 启动设备
3. 观察界面、协议、声音和资源状态
4. 保存相关日志</t>
  </si>
  <si>
    <t>启用北斗、GGA、AGPS和备电配置</t>
  </si>
  <si>
    <t>检查初始化成功日志</t>
  </si>
  <si>
    <t>TC-124</t>
  </si>
  <si>
    <t>首次定位显示</t>
  </si>
  <si>
    <t>GNSS定位 &gt; 首次定位显示</t>
  </si>
  <si>
    <t>已获得有效GGA</t>
  </si>
  <si>
    <t>1. 已获得有效GGA
2. 进入定位页
3. 观察界面、协议、声音和资源状态
4. 保存相关日志</t>
  </si>
  <si>
    <t>显示有效经纬度且保留需要的小数位</t>
  </si>
  <si>
    <t>对照原始GGA</t>
  </si>
  <si>
    <t>TC-125</t>
  </si>
  <si>
    <t>周期定位采样</t>
  </si>
  <si>
    <t>GNSS定位 &gt; 周期定位采样</t>
  </si>
  <si>
    <t>已登录且定位有效</t>
  </si>
  <si>
    <t>1. 已登录且定位有效
2. 静置并观察多个周期
3. 观察界面、协议、声音和资源状态
4. 保存相关日志</t>
  </si>
  <si>
    <t>按当前周期采样和更新，不阻塞UI</t>
  </si>
  <si>
    <t>检查采样时间</t>
  </si>
  <si>
    <t>TC-126</t>
  </si>
  <si>
    <t>移动超过5米更新</t>
  </si>
  <si>
    <t>GNSS定位 &gt; 移动超过5米更新</t>
  </si>
  <si>
    <t>已有上次有效位置</t>
  </si>
  <si>
    <t>1. 已有上次有效位置
2. 移动超过5米
3. 观察界面、协议、声音和资源状态
4. 保存相关日志</t>
  </si>
  <si>
    <t>更新并按业务需要上报新位置</t>
  </si>
  <si>
    <t>检查距离判断</t>
  </si>
  <si>
    <t>TC-127</t>
  </si>
  <si>
    <t>小于5米抑制</t>
  </si>
  <si>
    <t>GNSS定位 &gt; 小于5米抑制</t>
  </si>
  <si>
    <t>定位漂移小于5米</t>
  </si>
  <si>
    <t>1. 定位漂移小于5米
2. 保持静止
3. 观察界面、协议、声音和资源状态
4. 保存相关日志</t>
  </si>
  <si>
    <t>不因小幅漂移频繁刷新/上报</t>
  </si>
  <si>
    <t>检查无重复上报</t>
  </si>
  <si>
    <t>TC-128</t>
  </si>
  <si>
    <t>对讲期间延迟定位</t>
  </si>
  <si>
    <t>GNSS定位 &gt; 对讲期间延迟定位</t>
  </si>
  <si>
    <t>正在PTT发送或接收</t>
  </si>
  <si>
    <t>1. 正在PTT发送或接收
2. 触发定位采样时机
3. 观察界面、协议、声音和资源状态
4. 保存相关日志</t>
  </si>
  <si>
    <t>对讲优先，定位工作延迟到安全时机</t>
  </si>
  <si>
    <t>检查音频不中断</t>
  </si>
  <si>
    <t>TC-129</t>
  </si>
  <si>
    <t>无效定位数据</t>
  </si>
  <si>
    <t>GNSS定位 &gt; 无效定位数据</t>
  </si>
  <si>
    <t>GNSS未定位或GGA无效</t>
  </si>
  <si>
    <t>1. GNSS未定位或GGA无效
2. 查看定位页
3. 观察界面、协议、声音和资源状态
4. 保存相关日志</t>
  </si>
  <si>
    <t>不显示伪造坐标，保留合理占位或上次有效值</t>
  </si>
  <si>
    <t>检查无效数据日志</t>
  </si>
  <si>
    <t>TC-130</t>
  </si>
  <si>
    <t>红蓝交替闪开启</t>
  </si>
  <si>
    <t>肩灯与双击 &gt; 红蓝交替闪开启</t>
  </si>
  <si>
    <t>肩灯关闭</t>
  </si>
  <si>
    <t>1. 肩灯关闭
2. 通过设置或短按GPIO28开启
3. 观察界面、协议、声音和资源状态
4. 保存相关日志</t>
  </si>
  <si>
    <t>固定进入红蓝交替闪模式</t>
  </si>
  <si>
    <t>检查ET6312B寄存器和模式状态</t>
  </si>
  <si>
    <t>TC-131</t>
  </si>
  <si>
    <t>红蓝交替闪关闭</t>
  </si>
  <si>
    <t>肩灯与双击 &gt; 红蓝交替闪关闭</t>
  </si>
  <si>
    <t>肩灯已开启</t>
  </si>
  <si>
    <t>1. 肩灯已开启
2. 短按GPIO28
3. 观察界面、协议、声音和资源状态
4. 保存相关日志</t>
  </si>
  <si>
    <t>关闭当前肩灯模式</t>
  </si>
  <si>
    <t>检查输出通道关闭</t>
  </si>
  <si>
    <t>TC-132</t>
  </si>
  <si>
    <t>对角闪短按关闭</t>
  </si>
  <si>
    <t>肩灯与双击 &gt; 对角闪短按关闭</t>
  </si>
  <si>
    <t>当前为红蓝对角闪</t>
  </si>
  <si>
    <t>1. 当前为红蓝对角闪
2. 短按GPIO28
3. 观察界面、协议、声音和资源状态
4. 保存相关日志</t>
  </si>
  <si>
    <t>关闭肩灯，不切换为另一模式</t>
  </si>
  <si>
    <t>检查模式状态</t>
  </si>
  <si>
    <t>TC-133</t>
  </si>
  <si>
    <t>双击切换肩灯</t>
  </si>
  <si>
    <t>肩灯与双击 &gt; 双击切换肩灯</t>
  </si>
  <si>
    <t>双击模式已开启</t>
  </si>
  <si>
    <t>1. 双击模式已开启
2. 触发SC7A20H双击
3. 观察界面、协议、声音和资源状态
4. 保存相关日志</t>
  </si>
  <si>
    <t>执行与短按相同的亮灭逻辑</t>
  </si>
  <si>
    <t>检查双击中断和低优先级事件</t>
  </si>
  <si>
    <t>TC-134</t>
  </si>
  <si>
    <t>双击模式关闭后忽略双击</t>
  </si>
  <si>
    <t>肩灯与双击 &gt; 双击模式关闭后忽略双击</t>
  </si>
  <si>
    <t>持久化双击模式=关闭</t>
  </si>
  <si>
    <t>1. 持久化双击模式=关闭
2. 触发加速度双击
3. 观察界面、协议、声音和资源状态
4. 保存相关日志</t>
  </si>
  <si>
    <t>不切换肩灯</t>
  </si>
  <si>
    <t>检查事件被过滤</t>
  </si>
  <si>
    <t>TC-135</t>
  </si>
  <si>
    <t>肩灯亮度设置</t>
  </si>
  <si>
    <t>肩灯与双击 &gt; 肩灯亮度设置</t>
  </si>
  <si>
    <t>进入肩灯亮度页面</t>
  </si>
  <si>
    <t>1. 进入肩灯亮度页面
2. 调整亮度并保存
3. 观察界面、协议、声音和资源状态
4. 保存相关日志</t>
  </si>
  <si>
    <t>当前输出和后续开启使用新亮度</t>
  </si>
  <si>
    <t>检查配置值和寄存器</t>
  </si>
  <si>
    <t>TC-136</t>
  </si>
  <si>
    <t>肩灯模式持久化</t>
  </si>
  <si>
    <t>肩灯与双击 &gt; 肩灯模式持久化</t>
  </si>
  <si>
    <t>持久化</t>
  </si>
  <si>
    <t>修改肩灯相关设置</t>
  </si>
  <si>
    <t>1. 修改肩灯相关设置
2. 重启设备
3. 观察界面、协议、声音和资源状态
4. 保存相关日志</t>
  </si>
  <si>
    <t>配置按设计恢复</t>
  </si>
  <si>
    <t>检查配置文件</t>
  </si>
  <si>
    <t>TC-137</t>
  </si>
  <si>
    <t>I2C与加速度并发</t>
  </si>
  <si>
    <t>肩灯与双击 &gt; I2C与加速度并发</t>
  </si>
  <si>
    <t>肩灯和SC7A20H共用I2C0</t>
  </si>
  <si>
    <t>1. 肩灯和SC7A20H共用I2C0
2. 频繁切灯并触发加速度读取
3. 观察界面、协议、声音和资源状态
4. 保存相关日志</t>
  </si>
  <si>
    <t>访问受控，无总线冲突和未捕获异常</t>
  </si>
  <si>
    <t>检查I2C错误日志</t>
  </si>
  <si>
    <t>TC-138</t>
  </si>
  <si>
    <t>音量加键全局弹条</t>
  </si>
  <si>
    <t>实体按键与息屏 &gt; 音量加键全局弹条</t>
  </si>
  <si>
    <t>不在音量设置三级页</t>
  </si>
  <si>
    <t>1. 不在音量设置三级页
2. 按GPIO30
3. 观察界面、协议、声音和资源状态
4. 保存相关日志</t>
  </si>
  <si>
    <t>音量增加并弹出滑动条，约2秒后消失</t>
  </si>
  <si>
    <t>检查音量值和弹层</t>
  </si>
  <si>
    <t>TC-139</t>
  </si>
  <si>
    <t>音量减键全局弹条</t>
  </si>
  <si>
    <t>实体按键与息屏 &gt; 音量减键全局弹条</t>
  </si>
  <si>
    <t>1. 不在音量设置三级页
2. 按GPIO31
3. 观察界面、协议、声音和资源状态
4. 保存相关日志</t>
  </si>
  <si>
    <t>音量降低并弹出滑动条，约2秒后消失</t>
  </si>
  <si>
    <t>TC-140</t>
  </si>
  <si>
    <t>音量弹条计时刷新</t>
  </si>
  <si>
    <t>实体按键与息屏 &gt; 音量弹条计时刷新</t>
  </si>
  <si>
    <t>音量条已显示</t>
  </si>
  <si>
    <t>1. 音量条已显示
2. 2秒内再次按音量键
3. 观察界面、协议、声音和资源状态
4. 保存相关日志</t>
  </si>
  <si>
    <t>音量条更新，消失计时从最后一次操作重新开始</t>
  </si>
  <si>
    <t>记录显示时长</t>
  </si>
  <si>
    <t>TC-141</t>
  </si>
  <si>
    <t>音量页不弹全局条</t>
  </si>
  <si>
    <t>实体按键与息屏 &gt; 音量页不弹全局条</t>
  </si>
  <si>
    <t>位于音量设置三级页</t>
  </si>
  <si>
    <t>1. 位于音量设置三级页
2. 按音量加减键
3. 观察界面、协议、声音和资源状态
4. 保存相关日志</t>
  </si>
  <si>
    <t>只更新页面内滑动条，不叠加全局弹层</t>
  </si>
  <si>
    <t>TC-142</t>
  </si>
  <si>
    <t>屏幕键息屏唤醒</t>
  </si>
  <si>
    <t>实体按键与息屏 &gt; 屏幕键息屏唤醒</t>
  </si>
  <si>
    <t>屏幕已关闭</t>
  </si>
  <si>
    <t>1. 屏幕已关闭
2. 按GPIO5
3. 观察界面、协议、声音和资源状态
4. 保存相关日志</t>
  </si>
  <si>
    <t>屏幕恢复并刷新当前页面</t>
  </si>
  <si>
    <t>检查背光状态</t>
  </si>
  <si>
    <t>TC-143</t>
  </si>
  <si>
    <t>GPIO28短按阈值</t>
  </si>
  <si>
    <t>实体按键与息屏 &gt; GPIO28短按阈值</t>
  </si>
  <si>
    <t>肩灯任意状态</t>
  </si>
  <si>
    <t>1. 肩灯任意状态
2. 按下后小于2秒松开
3. 观察界面、协议、声音和资源状态
4. 保存相关日志</t>
  </si>
  <si>
    <t>仅触发一次短按肩灯亮灭逻辑</t>
  </si>
  <si>
    <t>检查按键时长和事件</t>
  </si>
  <si>
    <t>TC-144</t>
  </si>
  <si>
    <t>GPIO28长按阈值</t>
  </si>
  <si>
    <t>实体按键与息屏 &gt; GPIO28长按阈值</t>
  </si>
  <si>
    <t>双击模式任意状态</t>
  </si>
  <si>
    <t>1. 双击模式任意状态
2. 按住达到2秒
3. 观察界面、协议、声音和资源状态
4. 保存相关日志</t>
  </si>
  <si>
    <t>立即切换双击模式一次，亮屏并提示切换后的状态2秒</t>
  </si>
  <si>
    <t>检查只触发一次</t>
  </si>
  <si>
    <t>TC-145</t>
  </si>
  <si>
    <t>GPIO28持续长按不重复</t>
  </si>
  <si>
    <t>实体按键与息屏 &gt; GPIO28持续长按不重复</t>
  </si>
  <si>
    <t>已达到长按阈值且仍按住</t>
  </si>
  <si>
    <t>1. 已达到长按阈值且仍按住
2. 继续按住5秒
3. 观察界面、协议、声音和资源状态
4. 保存相关日志</t>
  </si>
  <si>
    <t>不再次切换；松开防抖后才允许下一次按键</t>
  </si>
  <si>
    <t>TC-146</t>
  </si>
  <si>
    <t>息屏短按GPIO28</t>
  </si>
  <si>
    <t>实体按键与息屏 &gt; 息屏短按GPIO28</t>
  </si>
  <si>
    <t>设备息屏</t>
  </si>
  <si>
    <t>1. 设备息屏
2. 短按GPIO28
3. 观察界面、协议、声音和资源状态
4. 保存相关日志</t>
  </si>
  <si>
    <t>后台执行肩灯开关，不强制亮屏</t>
  </si>
  <si>
    <t>检查背光保持关闭</t>
  </si>
  <si>
    <t>TC-147</t>
  </si>
  <si>
    <t>息屏长按GPIO28</t>
  </si>
  <si>
    <t>实体按键与息屏 &gt; 息屏长按GPIO28</t>
  </si>
  <si>
    <t>1. 设备息屏
2. 长按达到2秒
3. 观察界面、协议、声音和资源状态
4. 保存相关日志</t>
  </si>
  <si>
    <t>亮屏并显示双击模式开启或关闭提示</t>
  </si>
  <si>
    <t>检查提示为切换后状态</t>
  </si>
  <si>
    <t>TC-148</t>
  </si>
  <si>
    <t>按键低优先级</t>
  </si>
  <si>
    <t>实体按键与息屏 &gt; 按键低优先级</t>
  </si>
  <si>
    <t>同时有PTT或关键通信事件</t>
  </si>
  <si>
    <t>1. 同时有PTT或关键通信事件
2. 触发GPIO28短按/长按
3. 观察界面、协议、声音和资源状态
4. 保存相关日志</t>
  </si>
  <si>
    <t>关键通信优先，肩灯事件随后正确执行</t>
  </si>
  <si>
    <t>检查事件队列顺序</t>
  </si>
  <si>
    <t>TC-149</t>
  </si>
  <si>
    <t>远端讲话唤醒屏幕</t>
  </si>
  <si>
    <t>实体按键与息屏 &gt; 远端讲话唤醒屏幕</t>
  </si>
  <si>
    <t>设备息屏且已入组</t>
  </si>
  <si>
    <t>1. 设备息屏且已入组
2. 收到0x0B并开始语音
3. 观察界面、协议、声音和资源状态
4. 保存相关日志</t>
  </si>
  <si>
    <t>恢复亮屏并正常执行接收对讲全流程</t>
  </si>
  <si>
    <t>检查亮屏和音频</t>
  </si>
  <si>
    <t>TC-150</t>
  </si>
  <si>
    <t>电池周期采样</t>
  </si>
  <si>
    <t>电池与网络状态 &gt; 电池周期采样</t>
  </si>
  <si>
    <t>设备正常运行</t>
  </si>
  <si>
    <t>1. 设备正常运行
2. 观察Worker多个周期
3. 观察界面、协议、声音和资源状态
4. 保存相关日志</t>
  </si>
  <si>
    <t>每次Worker运行采集电压并更新电量，约最长5秒更新</t>
  </si>
  <si>
    <t>检查采样周期</t>
  </si>
  <si>
    <t>TC-151</t>
  </si>
  <si>
    <t>电池滤波</t>
  </si>
  <si>
    <t>电池与网络状态 &gt; 电池滤波</t>
  </si>
  <si>
    <t>ADC值有瞬时抖动</t>
  </si>
  <si>
    <t>1. ADC值有瞬时抖动
2. 注入突变采样
3. 观察界面、协议、声音和资源状态
4. 保存相关日志</t>
  </si>
  <si>
    <t>显示电量平稳，不因单次噪声大幅跳变</t>
  </si>
  <si>
    <t>检查原始值和滤波值</t>
  </si>
  <si>
    <t>TC-152</t>
  </si>
  <si>
    <t>低电量红色</t>
  </si>
  <si>
    <t>电池与网络状态 &gt; 低电量红色</t>
  </si>
  <si>
    <t>电量小于或等于20%</t>
  </si>
  <si>
    <t>1. 电量小于或等于20%
2. 查看电量显示
3. 观察界面、协议、声音和资源状态
4. 保存相关日志</t>
  </si>
  <si>
    <t>“电量：xx%”整段字体显示红色</t>
  </si>
  <si>
    <t>目视检查边界20%</t>
  </si>
  <si>
    <t>TC-153</t>
  </si>
  <si>
    <t>21%恢复常规颜色</t>
  </si>
  <si>
    <t>电池与网络状态 &gt; 21%恢复常规颜色</t>
  </si>
  <si>
    <t>电量为21%</t>
  </si>
  <si>
    <t>1. 电量为21%
2. 查看电量显示
3. 观察界面、协议、声音和资源状态
4. 保存相关日志</t>
  </si>
  <si>
    <t>使用常规字体颜色</t>
  </si>
  <si>
    <t>TC-154</t>
  </si>
  <si>
    <t>信号等级和dBm</t>
  </si>
  <si>
    <t>电池与网络状态 &gt; 信号等级和dBm</t>
  </si>
  <si>
    <t>网络状态可读取</t>
  </si>
  <si>
    <t>1. 网络状态可读取
2. 进入网络状态三级页
3. 观察界面、协议、声音和资源状态
4. 保存相关日志</t>
  </si>
  <si>
    <t>显示“信号值：一般    -98 dBm”类似格式，间距适中且不裁切</t>
  </si>
  <si>
    <t>对照采集值</t>
  </si>
  <si>
    <t>TC-155</t>
  </si>
  <si>
    <t>网络状态刷新</t>
  </si>
  <si>
    <t>电池与网络状态 &gt; 网络状态刷新</t>
  </si>
  <si>
    <t>位于网络状态三级页</t>
  </si>
  <si>
    <t>1. 位于网络状态三级页
2. 点击右下角刷新
3. 观察界面、协议、声音和资源状态
4. 保存相关日志</t>
  </si>
  <si>
    <t>重新采集信号值并立即更新页面</t>
  </si>
  <si>
    <t>检查刷新日志和UI值一致</t>
  </si>
  <si>
    <t>TC-156</t>
  </si>
  <si>
    <t>刷新日志</t>
  </si>
  <si>
    <t>电池与网络状态 &gt; 刷新日志</t>
  </si>
  <si>
    <t>位于网络状态页</t>
  </si>
  <si>
    <t>1. 位于网络状态页
2. 点击刷新
3. 观察界面、协议、声音和资源状态
4. 保存相关日志</t>
  </si>
  <si>
    <t>中文日志打印本次执行采集的具体信号值</t>
  </si>
  <si>
    <t>检查日志值</t>
  </si>
  <si>
    <t>TC-157</t>
  </si>
  <si>
    <t>信号采集失败</t>
  </si>
  <si>
    <t>电池与网络状态 &gt; 信号采集失败</t>
  </si>
  <si>
    <t>模拟接口返回异常</t>
  </si>
  <si>
    <t>1. 模拟接口返回异常
2. 点击刷新
3. 观察界面、协议、声音和资源状态
4. 保存相关日志</t>
  </si>
  <si>
    <t>页面不崩溃，保留合理状态并记录失败</t>
  </si>
  <si>
    <t>检查异常日志</t>
  </si>
  <si>
    <t>TC-158</t>
  </si>
  <si>
    <t>屏幕亮度保存</t>
  </si>
  <si>
    <t>设置与持久化 &gt; 屏幕亮度保存</t>
  </si>
  <si>
    <t>进入屏幕亮度页</t>
  </si>
  <si>
    <t>1. 进入屏幕亮度页
2. 修改、返回并重启
3. 观察界面、协议、声音和资源状态
4. 保存相关日志</t>
  </si>
  <si>
    <t>亮度立即生效且重启后保留</t>
  </si>
  <si>
    <t>检查配置值</t>
  </si>
  <si>
    <t>TC-159</t>
  </si>
  <si>
    <t>音量保存</t>
  </si>
  <si>
    <t>设置与持久化 &gt; 音量保存</t>
  </si>
  <si>
    <t>进入音量页</t>
  </si>
  <si>
    <t>1. 进入音量页
2. 修改、返回并重启
3. 观察界面、协议、声音和资源状态
4. 保存相关日志</t>
  </si>
  <si>
    <t>音量立即生效且重启后保留</t>
  </si>
  <si>
    <t>TC-160</t>
  </si>
  <si>
    <t>双击模式保存</t>
  </si>
  <si>
    <t>设置与持久化 &gt; 双击模式保存</t>
  </si>
  <si>
    <t>长按GPIO28切换模式</t>
  </si>
  <si>
    <t>1. 长按GPIO28切换模式
2. 重启设备
3. 观察界面、协议、声音和资源状态
4. 保存相关日志</t>
  </si>
  <si>
    <t>双击模式保持切换后的状态</t>
  </si>
  <si>
    <t>检查配置文件加载</t>
  </si>
  <si>
    <t>TC-161</t>
  </si>
  <si>
    <t>配置文件首次创建</t>
  </si>
  <si>
    <t>设置与持久化 &gt; 配置文件首次创建</t>
  </si>
  <si>
    <t>删除或不存在配置文件</t>
  </si>
  <si>
    <t>1. 删除或不存在配置文件
2. 启动设备并修改设置
3. 观察界面、协议、声音和资源状态
4. 保存相关日志</t>
  </si>
  <si>
    <t>使用默认值启动并创建配置文件</t>
  </si>
  <si>
    <t>检查创建日志</t>
  </si>
  <si>
    <t>TC-162</t>
  </si>
  <si>
    <t>配置损坏恢复</t>
  </si>
  <si>
    <t>设置与持久化 &gt; 配置损坏恢复</t>
  </si>
  <si>
    <t>配置文件内容损坏</t>
  </si>
  <si>
    <t>1. 配置文件内容损坏
2. 启动设备
3. 观察界面、协议、声音和资源状态
4. 保存相关日志</t>
  </si>
  <si>
    <t>恢复为安全默认值或有效备份，不阻断启动</t>
  </si>
  <si>
    <t>检查解析失败和恢复日志</t>
  </si>
  <si>
    <t>TC-163</t>
  </si>
  <si>
    <t>备份恢复</t>
  </si>
  <si>
    <t>设置与持久化 &gt; 备份恢复</t>
  </si>
  <si>
    <t>主配置损坏且备份有效</t>
  </si>
  <si>
    <t>1. 主配置损坏且备份有效
2. 启动设备
3. 观察界面、协议、声音和资源状态
4. 保存相关日志</t>
  </si>
  <si>
    <t>从备份恢复有效配置</t>
  </si>
  <si>
    <t>检查恢复来源</t>
  </si>
  <si>
    <t>TC-164</t>
  </si>
  <si>
    <t>写入中断保护</t>
  </si>
  <si>
    <t>设置与持久化 &gt; 写入中断保护</t>
  </si>
  <si>
    <t>可靠性</t>
  </si>
  <si>
    <t>可在保存中断电</t>
  </si>
  <si>
    <t>1. 可在保存中断电
2. 保存时断电再上电
3. 观察界面、协议、声音和资源状态
4. 保存相关日志</t>
  </si>
  <si>
    <t>至少保留一份可解析配置，不陷入启动异常</t>
  </si>
  <si>
    <t>检查主/备份文件</t>
  </si>
  <si>
    <t>TC-165</t>
  </si>
  <si>
    <t>恢复默认设置</t>
  </si>
  <si>
    <t>设置与持久化 &gt; 恢复默认设置</t>
  </si>
  <si>
    <t>已有非默认设置</t>
  </si>
  <si>
    <t>1. 已有非默认设置
2. 执行恢复默认并确认
3. 观察界面、协议、声音和资源状态
4. 保存相关日志</t>
  </si>
  <si>
    <t>所有受管设置恢复默认且界面刷新</t>
  </si>
  <si>
    <t>检查确认弹框和配置</t>
  </si>
  <si>
    <t>TC-166</t>
  </si>
  <si>
    <t>进入升级页初始状态</t>
  </si>
  <si>
    <t>OTA主动升级 &gt; 进入升级页初始状态</t>
  </si>
  <si>
    <t>进入设置-升级三级页</t>
  </si>
  <si>
    <t>1. 进入设置-升级三级页
2. 打开页面
3. 观察界面、协议、声音和资源状态
4. 保存相关日志</t>
  </si>
  <si>
    <t>显示当前软件版本；状态提示区为空；按钮为查询新版本</t>
  </si>
  <si>
    <t>TC-167</t>
  </si>
  <si>
    <t>MQTT匿名连接</t>
  </si>
  <si>
    <t>OTA主动升级 &gt; MQTT匿名连接</t>
  </si>
  <si>
    <t>公网MQTT可达</t>
  </si>
  <si>
    <t>1. 公网MQTT可达
2. 点击查询新版本
3. 观察界面、协议、声音和资源状态
4. 保存相关日志</t>
  </si>
  <si>
    <t>连接125.124.233.231:1883，不设置账号密码</t>
  </si>
  <si>
    <t>检查MQTT连接日志</t>
  </si>
  <si>
    <t>TC-168</t>
  </si>
  <si>
    <t>MQTT连接重试</t>
  </si>
  <si>
    <t>OTA主动升级 &gt; MQTT连接重试</t>
  </si>
  <si>
    <t>首次连接失败后恢复</t>
  </si>
  <si>
    <t>1. 首次连接失败后恢复
2. 点击查询
3. 观察界面、协议、声音和资源状态
4. 保存相关日志</t>
  </si>
  <si>
    <t>按2秒间隔有限重连，最多3次重试</t>
  </si>
  <si>
    <t>检查尝试次数和间隔</t>
  </si>
  <si>
    <t>TC-169</t>
  </si>
  <si>
    <t>MQTT最终连接失败</t>
  </si>
  <si>
    <t>OTA主动升级 &gt; MQTT最终连接失败</t>
  </si>
  <si>
    <t>MQTT持续不可达</t>
  </si>
  <si>
    <t>1. MQTT持续不可达
2. 执行查询
3. 观察界面、协议、声音和资源状态
4. 保存相关日志</t>
  </si>
  <si>
    <t>复用弹框提示MQTT连接失败2秒并结束临时任务</t>
  </si>
  <si>
    <t>检查Socket和线程释放</t>
  </si>
  <si>
    <t>TC-170</t>
  </si>
  <si>
    <t>QoS1查询发布</t>
  </si>
  <si>
    <t>OTA主动升级 &gt; QoS1查询发布</t>
  </si>
  <si>
    <t>MQTT连接和订阅成功</t>
  </si>
  <si>
    <t>1. MQTT连接和订阅成功
2. 执行查询
3. 观察界面、协议、声音和资源状态
4. 保存相关日志</t>
  </si>
  <si>
    <t>发布一次QoS1查询，request_id为uint16数字</t>
  </si>
  <si>
    <t>检查JSON字段类型</t>
  </si>
  <si>
    <t>TC-171</t>
  </si>
  <si>
    <t>查询应答3秒内返回</t>
  </si>
  <si>
    <t>OTA主动升级 &gt; 查询应答3秒内返回</t>
  </si>
  <si>
    <t>平台有有效report</t>
  </si>
  <si>
    <t>1. 平台有有效report
2. 点击查询
3. 观察界面、协议、声音和资源状态
4. 保存相关日志</t>
  </si>
  <si>
    <t>过滤自收query，匹配deviceId和request_id后处理report</t>
  </si>
  <si>
    <t>检查原始消息和有效应答日志</t>
  </si>
  <si>
    <t>TC-172</t>
  </si>
  <si>
    <t>首次查询无应答后重连</t>
  </si>
  <si>
    <t>OTA主动升级 &gt; 首次查询无应答后重连</t>
  </si>
  <si>
    <t>第一次发布后3秒无report</t>
  </si>
  <si>
    <t>1. 第一次发布后3秒无report
2. 等待超时
3. 观察界面、协议、声音和资源状态
4. 保存相关日志</t>
  </si>
  <si>
    <t>重连一次MQTT后再发布一次查询</t>
  </si>
  <si>
    <t>检查两轮等待</t>
  </si>
  <si>
    <t>TC-173</t>
  </si>
  <si>
    <t>二次仍无应答</t>
  </si>
  <si>
    <t>OTA主动升级 &gt; 二次仍无应答</t>
  </si>
  <si>
    <t>两次均无report</t>
  </si>
  <si>
    <t>1. 两次均无report
2. 等待第二次3秒
3. 观察界面、协议、声音和资源状态
4. 保存相关日志</t>
  </si>
  <si>
    <t>提示查询失败，无应答2秒并释放MQTT和线程</t>
  </si>
  <si>
    <t>TC-174</t>
  </si>
  <si>
    <t>已是最新版本</t>
  </si>
  <si>
    <t>OTA主动升级 &gt; 已是最新版本</t>
  </si>
  <si>
    <t>平台返回has_update=0</t>
  </si>
  <si>
    <t>1. 平台返回has_update=0
2. 完成查询
3. 观察界面、协议、声音和资源状态
4. 保存相关日志</t>
  </si>
  <si>
    <t>页面状态区显示绿色“当前已是最新版本”</t>
  </si>
  <si>
    <t>检查版本比较和UI</t>
  </si>
  <si>
    <t>TC-175</t>
  </si>
  <si>
    <t>发现新版本确认框</t>
  </si>
  <si>
    <t>OTA主动升级 &gt; 发现新版本确认框</t>
  </si>
  <si>
    <t>平台返回兼容的新版本</t>
  </si>
  <si>
    <t>1. 平台返回兼容的新版本
2. 完成查询
3. 观察界面、协议、声音和资源状态
4. 保存相关日志</t>
  </si>
  <si>
    <t>弹框“新软件版本：xxxx，是否升级？”并显示取消/确认</t>
  </si>
  <si>
    <t>检查版本号</t>
  </si>
  <si>
    <t>TC-176</t>
  </si>
  <si>
    <t>取消升级</t>
  </si>
  <si>
    <t>OTA主动升级 &gt; 取消升级</t>
  </si>
  <si>
    <t>新版本确认框显示</t>
  </si>
  <si>
    <t>1. 新版本确认框显示
2. 点击取消
3. 观察界面、协议、声音和资源状态
4. 保存相关日志</t>
  </si>
  <si>
    <t>关闭弹框，不退出组、不下载文件</t>
  </si>
  <si>
    <t>检查无下载调用</t>
  </si>
  <si>
    <t>TC-177</t>
  </si>
  <si>
    <t>硬件版本多值匹配</t>
  </si>
  <si>
    <t>OTA主动升级 &gt; 硬件版本多值匹配</t>
  </si>
  <si>
    <t>Adapt_Hardware_Ver包含本机1.3.0及其他版本</t>
  </si>
  <si>
    <t>1. Adapt_Hardware_Ver包含本机1.3.0及其他版本
2. 处理report
3. 观察界面、协议、声音和资源状态
4. 保存相关日志</t>
  </si>
  <si>
    <t>判定硬件兼容</t>
  </si>
  <si>
    <t>检查匹配逻辑</t>
  </si>
  <si>
    <t>TC-178</t>
  </si>
  <si>
    <t>固件版本多值匹配</t>
  </si>
  <si>
    <t>OTA主动升级 &gt; 固件版本多值匹配</t>
  </si>
  <si>
    <t>Adapt_Firmware_Ver包含本机固件及其他版本</t>
  </si>
  <si>
    <t>1. Adapt_Firmware_Ver包含本机固件及其他版本
2. 处理report
3. 观察界面、协议、声音和资源状态
4. 保存相关日志</t>
  </si>
  <si>
    <t>判定固件兼容</t>
  </si>
  <si>
    <t>TC-179</t>
  </si>
  <si>
    <t>版本不匹配</t>
  </si>
  <si>
    <t>OTA主动升级 &gt; 版本不匹配</t>
  </si>
  <si>
    <t>硬件或固件列表不含本机版本</t>
  </si>
  <si>
    <t>1. 硬件或固件列表不含本机版本
2. 处理report
3. 观察界面、协议、声音和资源状态
4. 保存相关日志</t>
  </si>
  <si>
    <t>提示硬件/固件版本不匹配，无法下载2秒</t>
  </si>
  <si>
    <t>检查不调用下载</t>
  </si>
  <si>
    <t>TC-180</t>
  </si>
  <si>
    <t>file_url单文件</t>
  </si>
  <si>
    <t>OTA主动升级 &gt; file_url单文件</t>
  </si>
  <si>
    <t>report包含1个url/file_name对象</t>
  </si>
  <si>
    <t>1. report包含1个url/file_name对象
2. 确认升级
3. 观察界面、协议、声音和资源状态
4. 保存相关日志</t>
  </si>
  <si>
    <t>传入官方接口的下载信息正确</t>
  </si>
  <si>
    <t>检查bulk_download参数</t>
  </si>
  <si>
    <t>TC-181</t>
  </si>
  <si>
    <t>file_url多文件</t>
  </si>
  <si>
    <t>OTA主动升级 &gt; file_url多文件</t>
  </si>
  <si>
    <t>report包含N个文件对象</t>
  </si>
  <si>
    <t>1. report包含N个文件对象
2. 确认升级
3. 观察界面、协议、声音和资源状态
4. 保存相关日志</t>
  </si>
  <si>
    <t>按完整清单下载，URL和设备目标路径一一对应</t>
  </si>
  <si>
    <t>检查下载清单日志</t>
  </si>
  <si>
    <t>TC-182</t>
  </si>
  <si>
    <t>升级前退出对讲</t>
  </si>
  <si>
    <t>OTA主动升级 &gt; 升级前退出对讲</t>
  </si>
  <si>
    <t>当前在组呼或单呼</t>
  </si>
  <si>
    <t>1. 当前在组呼或单呼
2. 确认升级
3. 观察界面、协议、声音和资源状态
4. 保存相关日志</t>
  </si>
  <si>
    <t>关闭PTT，退出所有组呼和临时单呼组，过滤PTT</t>
  </si>
  <si>
    <t>检查退出协议</t>
  </si>
  <si>
    <t>TC-183</t>
  </si>
  <si>
    <t>下载状态提示动画</t>
  </si>
  <si>
    <t>OTA主动升级 &gt; 下载状态提示动画</t>
  </si>
  <si>
    <t>已开始下载</t>
  </si>
  <si>
    <t>1. 已开始下载
2. 观察弹框
3. 观察界面、协议、声音和资源状态
4. 保存相关日志</t>
  </si>
  <si>
    <t>显示开始升级、下载中，点号每秒增加至6个后循环</t>
  </si>
  <si>
    <t>记录动画节奏</t>
  </si>
  <si>
    <t>TC-184</t>
  </si>
  <si>
    <t>bulk_download成功</t>
  </si>
  <si>
    <t>OTA主动升级 &gt; bulk_download成功</t>
  </si>
  <si>
    <t>所有文件下载成功</t>
  </si>
  <si>
    <t>1. 所有文件下载成功
2. 调用官方接口
3. 观察界面、协议、声音和资源状态
4. 保存相关日志</t>
  </si>
  <si>
    <t>返回空列表并完整打印返回值，判定下载成功</t>
  </si>
  <si>
    <t>检查中文日志</t>
  </si>
  <si>
    <t>TC-185</t>
  </si>
  <si>
    <t>失败文件重试</t>
  </si>
  <si>
    <t>OTA主动升级 &gt; 失败文件重试</t>
  </si>
  <si>
    <t>bulk_download返回失败文件列表</t>
  </si>
  <si>
    <t>1. bulk_download返回失败文件列表
2. 等待2秒后重试
3. 观察界面、协议、声音和资源状态
4. 保存相关日志</t>
  </si>
  <si>
    <t>仅重试返回列表中的文件，不重复下载成功文件</t>
  </si>
  <si>
    <t>检查每轮参数</t>
  </si>
  <si>
    <t>TC-186</t>
  </si>
  <si>
    <t>下载最多三次</t>
  </si>
  <si>
    <t>OTA主动升级 &gt; 下载最多三次</t>
  </si>
  <si>
    <t>目标文件持续失败</t>
  </si>
  <si>
    <t>1. 目标文件持续失败
2. 执行下载
3. 观察界面、协议、声音和资源状态
4. 保存相关日志</t>
  </si>
  <si>
    <t>最多尝试3次，每次间隔2秒</t>
  </si>
  <si>
    <t>检查次数和间隔</t>
  </si>
  <si>
    <t>TC-187</t>
  </si>
  <si>
    <t>最终下载失败</t>
  </si>
  <si>
    <t>OTA主动升级 &gt; 最终下载失败</t>
  </si>
  <si>
    <t>3次均失败</t>
  </si>
  <si>
    <t>1. 3次均失败
2. 等待任务结束
3. 观察界面、协议、声音和资源状态
4. 保存相关日志</t>
  </si>
  <si>
    <t>提示最终下载失败，结束任务2秒；关闭MQTT和线程</t>
  </si>
  <si>
    <t>检查upgrade_fail上报和清理</t>
  </si>
  <si>
    <t>TC-188</t>
  </si>
  <si>
    <t>下载失败恢复原组</t>
  </si>
  <si>
    <t>OTA主动升级 &gt; 下载失败恢复原组</t>
  </si>
  <si>
    <t>升级前已在组呼</t>
  </si>
  <si>
    <t>1. 升级前已在组呼
2. 制造最终下载失败
3. 观察界面、协议、声音和资源状态
4. 保存相关日志</t>
  </si>
  <si>
    <t>恢复加入原先组呼，解除PTT过滤</t>
  </si>
  <si>
    <t>检查重新入组</t>
  </si>
  <si>
    <t>TC-189</t>
  </si>
  <si>
    <t>下载完成提示</t>
  </si>
  <si>
    <t>OTA主动升级 &gt; 下载完成提示</t>
  </si>
  <si>
    <t>下载成功</t>
  </si>
  <si>
    <t>1. 下载成功
2. 观察状态
3. 观察界面、协议、声音和资源状态
4. 保存相关日志</t>
  </si>
  <si>
    <t>提示下载完成2秒，然后提示准备升级重启2秒</t>
  </si>
  <si>
    <t>记录提示时长</t>
  </si>
  <si>
    <t>TC-190</t>
  </si>
  <si>
    <t>设置升级标志</t>
  </si>
  <si>
    <t>OTA主动升级 &gt; 设置升级标志</t>
  </si>
  <si>
    <t>下载成功且提示完成</t>
  </si>
  <si>
    <t>1. 下载成功且提示完成
2. 等待提示结束
3. 观察界面、协议、声音和资源状态
4. 保存相关日志</t>
  </si>
  <si>
    <t>调用fota.set_update_flag(True)并打印调用日志</t>
  </si>
  <si>
    <t>检查位置参数而非关键字参数</t>
  </si>
  <si>
    <t>TC-191</t>
  </si>
  <si>
    <t>升级标志失败</t>
  </si>
  <si>
    <t>OTA主动升级 &gt; 升级标志失败</t>
  </si>
  <si>
    <t>模拟set_update_flag返回异常</t>
  </si>
  <si>
    <t>1. 模拟set_update_flag返回异常
2. 执行升级
3. 观察界面、协议、声音和资源状态
4. 保存相关日志</t>
  </si>
  <si>
    <t>提示失败并上报upgrade_fail，恢复可用业务</t>
  </si>
  <si>
    <t>检查异常内容</t>
  </si>
  <si>
    <t>TC-192</t>
  </si>
  <si>
    <t>升级重启</t>
  </si>
  <si>
    <t>OTA主动升级 &gt; 升级重启</t>
  </si>
  <si>
    <t>标志设置成功</t>
  </si>
  <si>
    <t>1. 标志设置成功
2. 等待设备重启
3. 观察界面、协议、声音和资源状态
4. 保存相关日志</t>
  </si>
  <si>
    <t>进入官方临时包校验和替换流程，不自行实现拷贝</t>
  </si>
  <si>
    <t>检查重启和开机日志</t>
  </si>
  <si>
    <t>TC-193</t>
  </si>
  <si>
    <t>升级成功上报</t>
  </si>
  <si>
    <t>OTA主动升级 &gt; 升级成功上报</t>
  </si>
  <si>
    <t>新版本启动完成</t>
  </si>
  <si>
    <t>1. 新版本启动完成
2. 观察OTA状态上报
3. 观察界面、协议、声音和资源状态
4. 保存相关日志</t>
  </si>
  <si>
    <t>向平台发布upgrade_success及task_id、新版本等字段</t>
  </si>
  <si>
    <t>检查QoS1发布</t>
  </si>
  <si>
    <t>TC-194</t>
  </si>
  <si>
    <t>任务幂等</t>
  </si>
  <si>
    <t>OTA主动升级 &gt; 任务幂等</t>
  </si>
  <si>
    <t>重复收到同task_id的report</t>
  </si>
  <si>
    <t>1. 重复收到同task_id的report
2. 重复处理消息
3. 观察界面、协议、声音和资源状态
4. 保存相关日志</t>
  </si>
  <si>
    <t>不重复执行同一升级任务</t>
  </si>
  <si>
    <t>检查task_id记录</t>
  </si>
  <si>
    <t>TC-195</t>
  </si>
  <si>
    <t>返回上级取消查询</t>
  </si>
  <si>
    <t>OTA主动升级 &gt; 返回上级取消查询</t>
  </si>
  <si>
    <t>查询进行中</t>
  </si>
  <si>
    <t>1. 查询进行中
2. 立即返回上一级
3. 观察界面、协议、声音和资源状态
4. 保存相关日志</t>
  </si>
  <si>
    <t>设置取消标志，关闭MQTT Socket，线程退出，加载图标消失</t>
  </si>
  <si>
    <t>检查资源释放</t>
  </si>
  <si>
    <t>TC-196</t>
  </si>
  <si>
    <t>迟到OTA应答过滤</t>
  </si>
  <si>
    <t>OTA主动升级 &gt; 迟到OTA应答过滤</t>
  </si>
  <si>
    <t>查询已取消</t>
  </si>
  <si>
    <t>1. 查询已取消
2. 平台随后返回旧report
3. 观察界面、协议、声音和资源状态
4. 保存相关日志</t>
  </si>
  <si>
    <t>直接过滤，不弹框、不下载</t>
  </si>
  <si>
    <t>检查事务标识</t>
  </si>
  <si>
    <t>TC-197</t>
  </si>
  <si>
    <t>快速再次进入升级页</t>
  </si>
  <si>
    <t>OTA主动升级 &gt; 快速再次进入升级页</t>
  </si>
  <si>
    <t>上一次查询正在退出</t>
  </si>
  <si>
    <t>1. 上一次查询正在退出
2. 立即重进并点击查询
3. 观察界面、协议、声音和资源状态
4. 保存相关日志</t>
  </si>
  <si>
    <t>先等待旧MQTT和线程彻底退出，再允许新查询</t>
  </si>
  <si>
    <t>检查无双线程</t>
  </si>
  <si>
    <t>TC-198</t>
  </si>
  <si>
    <t>OTA期间单呼邀请</t>
  </si>
  <si>
    <t>OTA主动升级 &gt; OTA期间单呼邀请</t>
  </si>
  <si>
    <t>正在下载或准备重启</t>
  </si>
  <si>
    <t>1. 正在下载或准备重启
2. 收到邀请
3. 观察界面、协议、声音和资源状态
4. 保存相关日志</t>
  </si>
  <si>
    <t>自动拒绝且OTA继续</t>
  </si>
  <si>
    <t>检查拒绝与OTA日志</t>
  </si>
  <si>
    <t>TC-199</t>
  </si>
  <si>
    <t>不支持平台主动OTA</t>
  </si>
  <si>
    <t>OTA主动升级 &gt; 不支持平台主动OTA</t>
  </si>
  <si>
    <t>范围</t>
  </si>
  <si>
    <t>设备未主动查询</t>
  </si>
  <si>
    <t>1. 设备未主动查询
2. 平台主动推送升级任务
3. 观察界面、协议、声音和资源状态
4. 保存相关日志</t>
  </si>
  <si>
    <t>当前版本不启动升级，记录或过滤该消息</t>
  </si>
  <si>
    <t>检查无下载动作</t>
  </si>
  <si>
    <t>TC-200</t>
  </si>
  <si>
    <t>HTTP不阻塞通信</t>
  </si>
  <si>
    <t>并发与资源 &gt; HTTP不阻塞通信</t>
  </si>
  <si>
    <t>HTTP服务延迟5秒</t>
  </si>
  <si>
    <t>1. HTTP服务延迟5秒
2. 同时执行PTT和接收通知
3. 观察界面、协议、声音和资源状态
4. 保存相关日志</t>
  </si>
  <si>
    <t>PTT、TCP和RTP业务按时执行</t>
  </si>
  <si>
    <t>检查线程时间线</t>
  </si>
  <si>
    <t>TC-201</t>
  </si>
  <si>
    <t>OTA临时线程释放</t>
  </si>
  <si>
    <t>并发与资源 &gt; OTA临时线程释放</t>
  </si>
  <si>
    <t>完成、失败或取消OTA查询</t>
  </si>
  <si>
    <t>1. 完成、失败或取消OTA查询
2. 检查运行资源
3. 观察界面、协议、声音和资源状态
4. 保存相关日志</t>
  </si>
  <si>
    <t>MQTT Socket关闭，临时线程自然退出且不残留</t>
  </si>
  <si>
    <t>TC-202</t>
  </si>
  <si>
    <t>发送Worker定时重试</t>
  </si>
  <si>
    <t>并发与资源 &gt; 发送Worker定时重试</t>
  </si>
  <si>
    <t>远端首包未到</t>
  </si>
  <si>
    <t>1. 远端首包未到
2. 观察激活包重试
3. 观察界面、协议、声音和资源状态
4. 保存相关日志</t>
  </si>
  <si>
    <t>由CommunicationSendWorker按截止时间处理，不创建一次性短线程</t>
  </si>
  <si>
    <t>检查线程列表</t>
  </si>
  <si>
    <t>TC-203</t>
  </si>
  <si>
    <t>UI命令线程边界</t>
  </si>
  <si>
    <t>并发与资源 &gt; UI命令线程边界</t>
  </si>
  <si>
    <t>后台线程产生页面更新</t>
  </si>
  <si>
    <t>1. 后台线程产生页面更新
2. 触发通信和HTTP结果
3. 观察界面、协议、声音和资源状态
4. 保存相关日志</t>
  </si>
  <si>
    <t>通过UI命令队列更新，不从后台直接操作LVGL</t>
  </si>
  <si>
    <t>检查无线程安全异常</t>
  </si>
  <si>
    <t>TC-204</t>
  </si>
  <si>
    <t>长期线程数量稳定</t>
  </si>
  <si>
    <t>并发与资源 &gt; 长期线程数量稳定</t>
  </si>
  <si>
    <t>可重复登录、刷新、OTA查询</t>
  </si>
  <si>
    <t>1. 可重复登录、刷新、OTA查询
2. 循环100次操作
3. 观察界面、协议、声音和资源状态
4. 保存相关日志</t>
  </si>
  <si>
    <t>线程和Socket数量不持续增长</t>
  </si>
  <si>
    <t>记录前后资源数量</t>
  </si>
  <si>
    <t>TC-205</t>
  </si>
  <si>
    <t>长期对讲稳定</t>
  </si>
  <si>
    <t>并发与资源 &gt; 长期对讲稳定</t>
  </si>
  <si>
    <t>两台设备和服务器正常</t>
  </si>
  <si>
    <t>1. 两台设备和服务器正常
2. 交替组呼8小时
3. 观察界面、协议、声音和资源状态
4. 保存相关日志</t>
  </si>
  <si>
    <t>无崩溃、明显内存增长、永久失声或状态锁死</t>
  </si>
  <si>
    <t>保留关键日志和内存记录</t>
  </si>
  <si>
    <t>TC-206</t>
  </si>
  <si>
    <t>日志时间和模块标签</t>
  </si>
  <si>
    <t>日志与诊断 &gt; 日志时间和模块标签</t>
  </si>
  <si>
    <t>启用日志</t>
  </si>
  <si>
    <t>1. 启用日志
2. 执行登录、组呼和OTA
3. 观察界面、协议、声音和资源状态
4. 保存相关日志</t>
  </si>
  <si>
    <t>日志包含毫秒时间、中文模块和明确事件</t>
  </si>
  <si>
    <t>抽查格式</t>
  </si>
  <si>
    <t>TC-207</t>
  </si>
  <si>
    <t>敏感信息控制</t>
  </si>
  <si>
    <t>日志与诊断 &gt; 敏感信息控制</t>
  </si>
  <si>
    <t>执行所有网络业务</t>
  </si>
  <si>
    <t>1. 执行所有网络业务
2. 检查日志
3. 观察界面、协议、声音和资源状态
4. 保存相关日志</t>
  </si>
  <si>
    <t>不打印密码；设备标识和业务数据符合当前调试要求</t>
  </si>
  <si>
    <t>人工审阅</t>
  </si>
  <si>
    <t>TC-208</t>
  </si>
  <si>
    <t>UDP端口链路日志</t>
  </si>
  <si>
    <t>日志与诊断 &gt; UDP端口链路日志</t>
  </si>
  <si>
    <t>执行本机和远端讲话</t>
  </si>
  <si>
    <t>1. 执行本机和远端讲话
2. 检查日志
3. 观察界面、协议、声音和资源状态
4. 保存相关日志</t>
  </si>
  <si>
    <t>抢麦成功、收到通知、激活目标、语音目标端口均可关联</t>
  </si>
  <si>
    <t>对照服务器端口</t>
  </si>
  <si>
    <t>TC-209</t>
  </si>
  <si>
    <t>异常堆栈可定位</t>
  </si>
  <si>
    <t>日志与诊断 &gt; 异常堆栈可定位</t>
  </si>
  <si>
    <t>注入可恢复异常</t>
  </si>
  <si>
    <t>1. 注入可恢复异常
2. 观察日志
3. 观察界面、协议、声音和资源状态
4. 保存相关日志</t>
  </si>
  <si>
    <t>包含操作、原因和关键参数，不仅输出笼统失败</t>
  </si>
  <si>
    <t>TC-210</t>
  </si>
  <si>
    <t>移除旧RTP轨迹监控</t>
  </si>
  <si>
    <t>日志与诊断 &gt; 移除旧RTP轨迹监控</t>
  </si>
  <si>
    <t>正常接收或无语音</t>
  </si>
  <si>
    <t>1. 正常接收或无语音
2. 检查日志
3. 观察界面、协议、声音和资源状态
4. 保存相关日志</t>
  </si>
  <si>
    <t>不再输出已移除的RTP轨迹开始/结束和receive_summary诊断</t>
  </si>
  <si>
    <t>搜索日志关键字</t>
  </si>
  <si>
    <t>TC-211</t>
  </si>
  <si>
    <t>跌倒检测仅UI开关</t>
  </si>
  <si>
    <t>当前限制 &gt; 跌倒检测仅UI开关</t>
  </si>
  <si>
    <t>限制确认</t>
  </si>
  <si>
    <t>进入跌倒检测设置</t>
  </si>
  <si>
    <t>1. 进入跌倒检测设置
2. 切换开关并模拟跌倒
3. 观察界面、协议、声音和资源状态
4. 保存相关日志</t>
  </si>
  <si>
    <t>仅验证当前UI/配置能力，不应宣称完整告警闭环</t>
  </si>
  <si>
    <t>记录当前行为</t>
  </si>
  <si>
    <t>TC-212</t>
  </si>
  <si>
    <t>单呼成员离线自动解散未实现</t>
  </si>
  <si>
    <t>当前限制 &gt; 单呼成员离线自动解散未实现</t>
  </si>
  <si>
    <t>单呼中名单刷新为对方离线</t>
  </si>
  <si>
    <t>1. 单呼中名单刷新为对方离线
2. 观察当前行为
3. 观察界面、协议、声音和资源状态
4. 保存相关日志</t>
  </si>
  <si>
    <t>记录当前版本尚未自动解散，不误判为通过正式需求</t>
  </si>
  <si>
    <t>建立后续缺陷或需求</t>
  </si>
  <si>
    <t>TC-213</t>
  </si>
  <si>
    <t>充电状态接口未接入</t>
  </si>
  <si>
    <t>当前限制 &gt; 充电状态接口未接入</t>
  </si>
  <si>
    <t>连接/断开充电器</t>
  </si>
  <si>
    <t>1. 连接/断开充电器
2. 观察当前页面
3. 观察界面、协议、声音和资源状态
4. 保存相关日志</t>
  </si>
  <si>
    <t>记录当前硬件充电状态显示限制</t>
  </si>
  <si>
    <t>记录实测结果</t>
  </si>
  <si>
    <t>TC-214</t>
  </si>
  <si>
    <t>专网MQTT占位</t>
  </si>
  <si>
    <t>当前限制 &gt; 专网MQTT占位</t>
  </si>
  <si>
    <t>选择专网模式</t>
  </si>
  <si>
    <t>1. 选择专网模式
2. 执行OTA查询
3. 观察界面、协议、声音和资源状态
4. 保存相关日志</t>
  </si>
  <si>
    <t>在正式专网参数提供前标记阻塞，不使用占位参数作验收</t>
  </si>
  <si>
    <t>记录配置</t>
  </si>
  <si>
    <t>TC-215</t>
  </si>
  <si>
    <t>无OTA百分比</t>
  </si>
  <si>
    <t>当前限制 &gt; 无OTA百分比</t>
  </si>
  <si>
    <t>执行文件下载</t>
  </si>
  <si>
    <t>1. 执行文件下载
2. 观察升级弹框
3. 观察界面、协议、声音和资源状态
4. 保存相关日志</t>
  </si>
  <si>
    <t>只显示阶段状态，不要求百分比进度</t>
  </si>
  <si>
    <t>检查无虚假百分比</t>
  </si>
  <si>
    <t>TC-216</t>
  </si>
  <si>
    <t>多设备肩灯相位未实现</t>
  </si>
  <si>
    <t>当前限制 &gt; 多设备肩灯相位未实现</t>
  </si>
  <si>
    <t>多设备同时开启同模式</t>
  </si>
  <si>
    <t>1. 多设备同时开启同模式
2. 长时间比较相位
3. 观察界面、协议、声音和资源状态
4. 保存相关日志</t>
  </si>
  <si>
    <t>记录当前不保证服务器时间统一相位</t>
  </si>
  <si>
    <t>形成后续需求数据</t>
  </si>
  <si>
    <t>需求覆盖矩阵</t>
  </si>
  <si>
    <t>需求编号</t>
  </si>
  <si>
    <t>需求模块</t>
  </si>
  <si>
    <t>需求描述</t>
  </si>
  <si>
    <t>对应用例编号</t>
  </si>
  <si>
    <t>用例数量</t>
  </si>
  <si>
    <t>覆盖状态</t>
  </si>
  <si>
    <t>当前限制说明</t>
  </si>
  <si>
    <t>REQ-01</t>
  </si>
  <si>
    <t>覆盖功能需求文档“启动与初始化”分支的正常、异常、边界和恢复场景</t>
  </si>
  <si>
    <t>TC-001、TC-002、TC-003、TC-004、TC-005、TC-006、TC-007、TC-008</t>
  </si>
  <si>
    <t>已覆盖</t>
  </si>
  <si>
    <t>REQ-02</t>
  </si>
  <si>
    <t>覆盖功能需求文档“看门狗”分支的正常、异常、边界和恢复场景</t>
  </si>
  <si>
    <t>TC-009、TC-010、TC-011</t>
  </si>
  <si>
    <t>REQ-03</t>
  </si>
  <si>
    <t>覆盖功能需求文档“网络与服务器”分支的正常、异常、边界和恢复场景</t>
  </si>
  <si>
    <t>TC-012、TC-013、TC-014、TC-015、TC-016、TC-017、TC-018</t>
  </si>
  <si>
    <t>REQ-04</t>
  </si>
  <si>
    <t>覆盖功能需求文档“登录与身份”分支的正常、异常、边界和恢复场景</t>
  </si>
  <si>
    <t>TC-019、TC-020、TC-021、TC-022、TC-023、TC-024、TC-025、TC-026、TC-027</t>
  </si>
  <si>
    <t>REQ-05</t>
  </si>
  <si>
    <t>覆盖功能需求文档“游客模式”分支的正常、异常、边界和恢复场景</t>
  </si>
  <si>
    <t>TC-028、TC-029、TC-030、TC-031、TC-032、TC-033、TC-034、TC-035、TC-036、TC-037</t>
  </si>
  <si>
    <t>REQ-06</t>
  </si>
  <si>
    <t>覆盖功能需求文档“HTTP名单与POC权限”分支的正常、异常、边界和恢复场景</t>
  </si>
  <si>
    <t>TC-038、TC-039、TC-040、TC-041、TC-042、TC-043、TC-044、TC-045、TC-046、TC-047、TC-048、TC-049、TC-050、TC-051</t>
  </si>
  <si>
    <t>REQ-07</t>
  </si>
  <si>
    <t>覆盖功能需求文档“UI导航”分支的正常、异常、边界和恢复场景</t>
  </si>
  <si>
    <t>TC-052、TC-053、TC-054、TC-055、TC-056、TC-057、TC-058</t>
  </si>
  <si>
    <t>REQ-08</t>
  </si>
  <si>
    <t>覆盖功能需求文档“组呼”分支的正常、异常、边界和恢复场景</t>
  </si>
  <si>
    <t>TC-059、TC-060、TC-061、TC-062、TC-063、TC-064、TC-065、TC-066、TC-067</t>
  </si>
  <si>
    <t>REQ-09</t>
  </si>
  <si>
    <t>覆盖功能需求文档“单呼”分支的正常、异常、边界和恢复场景</t>
  </si>
  <si>
    <t>TC-068、TC-069、TC-070、TC-071、TC-072、TC-073、TC-074、TC-075、TC-076</t>
  </si>
  <si>
    <t>REQ-10</t>
  </si>
  <si>
    <t>覆盖功能需求文档“PTT与麦权”分支的正常、异常、边界和恢复场景</t>
  </si>
  <si>
    <t>TC-077、TC-078、TC-079、TC-080、TC-081、TC-082、TC-083、TC-084、TC-085、TC-086</t>
  </si>
  <si>
    <t>REQ-11</t>
  </si>
  <si>
    <t>覆盖功能需求文档“RTP音频”分支的正常、异常、边界和恢复场景</t>
  </si>
  <si>
    <t>TC-087、TC-088、TC-089、TC-090、TC-091、TC-092、TC-093、TC-094、TC-095、TC-096、TC-097、TC-098、TC-099、TC-100、TC-101、TC-102、TC-103、TC-104、TC-105、TC-106、TC-107、TC-108、TC-109</t>
  </si>
  <si>
    <t>REQ-12</t>
  </si>
  <si>
    <t>覆盖功能需求文档“TCP通信”分支的正常、异常、边界和恢复场景</t>
  </si>
  <si>
    <t>TC-110、TC-111、TC-112、TC-113、TC-114、TC-115</t>
  </si>
  <si>
    <t>REQ-13</t>
  </si>
  <si>
    <t>覆盖功能需求文档“断线重连”分支的正常、异常、边界和恢复场景</t>
  </si>
  <si>
    <t>TC-116、TC-117、TC-118、TC-119、TC-120、TC-121、TC-122</t>
  </si>
  <si>
    <t>REQ-14</t>
  </si>
  <si>
    <t>覆盖功能需求文档“GNSS定位”分支的正常、异常、边界和恢复场景</t>
  </si>
  <si>
    <t>TC-123、TC-124、TC-125、TC-126、TC-127、TC-128、TC-129</t>
  </si>
  <si>
    <t>REQ-15</t>
  </si>
  <si>
    <t>覆盖功能需求文档“肩灯与双击”分支的正常、异常、边界和恢复场景</t>
  </si>
  <si>
    <t>TC-130、TC-131、TC-132、TC-133、TC-134、TC-135、TC-136、TC-137</t>
  </si>
  <si>
    <t>REQ-16</t>
  </si>
  <si>
    <t>覆盖功能需求文档“实体按键与息屏”分支的正常、异常、边界和恢复场景</t>
  </si>
  <si>
    <t>TC-138、TC-139、TC-140、TC-141、TC-142、TC-143、TC-144、TC-145、TC-146、TC-147、TC-148、TC-149</t>
  </si>
  <si>
    <t>REQ-17</t>
  </si>
  <si>
    <t>覆盖功能需求文档“电池与网络状态”分支的正常、异常、边界和恢复场景</t>
  </si>
  <si>
    <t>TC-150、TC-151、TC-152、TC-153、TC-154、TC-155、TC-156、TC-157</t>
  </si>
  <si>
    <t>REQ-18</t>
  </si>
  <si>
    <t>覆盖功能需求文档“设置与持久化”分支的正常、异常、边界和恢复场景</t>
  </si>
  <si>
    <t>TC-158、TC-159、TC-160、TC-161、TC-162、TC-163、TC-164、TC-165</t>
  </si>
  <si>
    <t>REQ-19</t>
  </si>
  <si>
    <t>覆盖功能需求文档“OTA主动升级”分支的正常、异常、边界和恢复场景</t>
  </si>
  <si>
    <t>TC-166、TC-167、TC-168、TC-169、TC-170、TC-171、TC-172、TC-173、TC-174、TC-175、TC-176、TC-177、TC-178、TC-179、TC-180、TC-181、TC-182、TC-183、TC-184、TC-185、TC-186、TC-187、TC-188、TC-189、TC-190、TC-191、TC-192、TC-193、TC-194、TC-195、TC-196、TC-197、TC-198、TC-199</t>
  </si>
  <si>
    <t>REQ-20</t>
  </si>
  <si>
    <t>覆盖功能需求文档“并发与资源”分支的正常、异常、边界和恢复场景</t>
  </si>
  <si>
    <t>TC-200、TC-201、TC-202、TC-203、TC-204、TC-205</t>
  </si>
  <si>
    <t>REQ-21</t>
  </si>
  <si>
    <t>覆盖功能需求文档“日志与诊断”分支的正常、异常、边界和恢复场景</t>
  </si>
  <si>
    <t>TC-206、TC-207、TC-208、TC-209、TC-210</t>
  </si>
  <si>
    <t>REQ-22</t>
  </si>
  <si>
    <t>覆盖功能需求文档“当前限制”分支的正常、异常、边界和恢复场景</t>
  </si>
  <si>
    <t>TC-211、TC-212、TC-213、TC-214、TC-215、TC-216</t>
  </si>
  <si>
    <t>仅验证当前行为，不作为已实现功能验收</t>
  </si>
  <si>
    <t>协议测试矩阵</t>
  </si>
  <si>
    <t>消息/接口</t>
  </si>
  <si>
    <t>方向</t>
  </si>
  <si>
    <t>触发条件</t>
  </si>
  <si>
    <t>正常结果</t>
  </si>
  <si>
    <t>超时或重试</t>
  </si>
  <si>
    <t>关键日志</t>
  </si>
  <si>
    <t>关联用例</t>
  </si>
  <si>
    <t>TCP</t>
  </si>
  <si>
    <t>0x01 / 0x81 登录</t>
  </si>
  <si>
    <t>设备↔服务器</t>
  </si>
  <si>
    <t>用户确认登录或断线恢复</t>
  </si>
  <si>
    <t>按结果码完成当前登录事务</t>
  </si>
  <si>
    <t>无应答进入既有异常/游客流程；明确拒绝不重发</t>
  </si>
  <si>
    <t>request_cnt、结果码、事务状态</t>
  </si>
  <si>
    <t>TC-027~TC-035</t>
  </si>
  <si>
    <t>0x02 / 0x82 心跳</t>
  </si>
  <si>
    <t>登录后心跳周期</t>
  </si>
  <si>
    <t>应答匹配</t>
  </si>
  <si>
    <t>按通信层既有重试规则</t>
  </si>
  <si>
    <t>计数、发送和应答</t>
  </si>
  <si>
    <t>TCP通信-心跳</t>
  </si>
  <si>
    <t>0x0B / 0x8B 远端讲话</t>
  </si>
  <si>
    <t>服务器→设备</t>
  </si>
  <si>
    <t>其他成员获得麦权</t>
  </si>
  <si>
    <t>记录组、讲话人、UDP端口并激活RTP</t>
  </si>
  <si>
    <t>激活包500ms节奏重试</t>
  </si>
  <si>
    <t>端口、选中组、应答</t>
  </si>
  <si>
    <t>组呼、RTP音频相关用例</t>
  </si>
  <si>
    <t>0x0C / 0x8C 远端空闲</t>
  </si>
  <si>
    <t>远端释放麦权</t>
  </si>
  <si>
    <t>结束接收业务、清缓存并回IDLE</t>
  </si>
  <si>
    <t>立即处理，不等待5秒</t>
  </si>
  <si>
    <t>组ID、会话和接收模式</t>
  </si>
  <si>
    <t>组呼-远端空闲</t>
  </si>
  <si>
    <t>UDP</t>
  </si>
  <si>
    <t>RTP激活包</t>
  </si>
  <si>
    <t>设备→服务器</t>
  </si>
  <si>
    <t>收到有效0x0B</t>
  </si>
  <si>
    <t>向通知UDP端口发送</t>
  </si>
  <si>
    <t>0/500/1000ms发送，1500ms超时</t>
  </si>
  <si>
    <t>每次发送、端口和超时</t>
  </si>
  <si>
    <t>RTP音频首包用例</t>
  </si>
  <si>
    <t>RTP语音包</t>
  </si>
  <si>
    <t>双向</t>
  </si>
  <si>
    <t>持有或接收麦权</t>
  </si>
  <si>
    <t>G.711音频正常发送/播放</t>
  </si>
  <si>
    <t>抖动缓冲、补静音和重同步</t>
  </si>
  <si>
    <t>首包、目标端口、序号异常</t>
  </si>
  <si>
    <t>RTP音频用例</t>
  </si>
  <si>
    <t>HTTP</t>
  </si>
  <si>
    <t>成员名单GET</t>
  </si>
  <si>
    <t>设备↔平台</t>
  </si>
  <si>
    <t>登录前或页面刷新</t>
  </si>
  <si>
    <t>缓存组和成员、识别本机POC权限</t>
  </si>
  <si>
    <t>超时5秒，临时线程结束</t>
  </si>
  <si>
    <t>URL、返回数据、缓存版本</t>
  </si>
  <si>
    <t>HTTP名单与POC权限用例</t>
  </si>
  <si>
    <t>MQTT</t>
  </si>
  <si>
    <t>版本查询query/report</t>
  </si>
  <si>
    <t>点击查询新版本</t>
  </si>
  <si>
    <t>QoS1发布一次并匹配有效report</t>
  </si>
  <si>
    <t>等待3秒；无应答重连一次再发一次</t>
  </si>
  <si>
    <t>topic、JSON、request_id</t>
  </si>
  <si>
    <t>OTA主动升级查询用例</t>
  </si>
  <si>
    <t>upgrade_status</t>
  </si>
  <si>
    <t>设备→平台</t>
  </si>
  <si>
    <t>升级状态变化</t>
  </si>
  <si>
    <t>发布准备、下载、成功或失败状态</t>
  </si>
  <si>
    <t>QoS1；失败记录日志</t>
  </si>
  <si>
    <t>task_id、Updata_Sta</t>
  </si>
  <si>
    <t>OTA主动升级状态用例</t>
  </si>
  <si>
    <t>FOTA</t>
  </si>
  <si>
    <t>bulk_download(info=[])</t>
  </si>
  <si>
    <t>设备→官方库</t>
  </si>
  <si>
    <t>用户确认升级</t>
  </si>
  <si>
    <t>空列表表示成功</t>
  </si>
  <si>
    <t>失败列表只重试失败文件，最多3次，间隔2秒</t>
  </si>
  <si>
    <t>输入清单和完整返回值</t>
  </si>
  <si>
    <t>OTA下载用例</t>
  </si>
  <si>
    <t>set_update_flag(True)</t>
  </si>
  <si>
    <t>下载完成并完成两段提示</t>
  </si>
  <si>
    <t>设置重命名模式并准备重启</t>
  </si>
  <si>
    <t>异常上报upgrade_fail并恢复业务</t>
  </si>
  <si>
    <t>调用参数和返回/异常</t>
  </si>
  <si>
    <t>OTA升级标志用例</t>
  </si>
  <si>
    <t>测试数据准备</t>
  </si>
  <si>
    <t>数据编号</t>
  </si>
  <si>
    <t>类别</t>
  </si>
  <si>
    <t>名称</t>
  </si>
  <si>
    <t>建议值/示例</t>
  </si>
  <si>
    <t>用途</t>
  </si>
  <si>
    <t>执行前填写</t>
  </si>
  <si>
    <t>DATA-01</t>
  </si>
  <si>
    <t>设备</t>
  </si>
  <si>
    <t>设备A</t>
  </si>
  <si>
    <t>EC800M / HW 1.3.0 / SW 1.5.0</t>
  </si>
  <si>
    <t>主测设备</t>
  </si>
  <si>
    <t>DATA-02</t>
  </si>
  <si>
    <t>设备B</t>
  </si>
  <si>
    <t>同组在线设备</t>
  </si>
  <si>
    <t>双设备组呼/单呼</t>
  </si>
  <si>
    <t>DATA-03</t>
  </si>
  <si>
    <t>账号</t>
  </si>
  <si>
    <t>正常警号</t>
  </si>
  <si>
    <t>平台已注册且未在别处登录</t>
  </si>
  <si>
    <t>成功登录</t>
  </si>
  <si>
    <t>DATA-04</t>
  </si>
  <si>
    <t>未注册警号</t>
  </si>
  <si>
    <t>F100003等平台不存在警号</t>
  </si>
  <si>
    <t>拒绝登录</t>
  </si>
  <si>
    <t>DATA-05</t>
  </si>
  <si>
    <t>已登录警号</t>
  </si>
  <si>
    <t>已由另一台设备登录</t>
  </si>
  <si>
    <t>冲突登录</t>
  </si>
  <si>
    <t>DATA-06</t>
  </si>
  <si>
    <t>POC ON成员</t>
  </si>
  <si>
    <t>本设备ID对应poc_enable=ON</t>
  </si>
  <si>
    <t>正常对讲</t>
  </si>
  <si>
    <t>DATA-07</t>
  </si>
  <si>
    <t>POC OFF成员</t>
  </si>
  <si>
    <t>本设备ID对应poc_enable=OFF</t>
  </si>
  <si>
    <t>权限关闭</t>
  </si>
  <si>
    <t>DATA-08</t>
  </si>
  <si>
    <t>测试组A/B</t>
  </si>
  <si>
    <t>每组至少2名在线成员</t>
  </si>
  <si>
    <t>入组、切组、远端讲话</t>
  </si>
  <si>
    <t>DATA-09</t>
  </si>
  <si>
    <t>网络</t>
  </si>
  <si>
    <t>公网TCP</t>
  </si>
  <si>
    <t>125.124.233.231:6060</t>
  </si>
  <si>
    <t>登录和对讲</t>
  </si>
  <si>
    <t>DATA-10</t>
  </si>
  <si>
    <t>公网MQTT</t>
  </si>
  <si>
    <t>125.124.233.231:1883，无账号密码</t>
  </si>
  <si>
    <t>OTA查询</t>
  </si>
  <si>
    <t>DATA-11</t>
  </si>
  <si>
    <t>OTA</t>
  </si>
  <si>
    <t>无更新应答</t>
  </si>
  <si>
    <t>has_update=0，request_id匹配</t>
  </si>
  <si>
    <t>最新版本场景</t>
  </si>
  <si>
    <t>DATA-12</t>
  </si>
  <si>
    <t>兼容更新</t>
  </si>
  <si>
    <t>V1.5.1，硬件/固件包含本机</t>
  </si>
  <si>
    <t>正常升级</t>
  </si>
  <si>
    <t>DATA-13</t>
  </si>
  <si>
    <t>不兼容更新</t>
  </si>
  <si>
    <t>硬件或固件列表不含本机</t>
  </si>
  <si>
    <t>版本拦截</t>
  </si>
  <si>
    <t>DATA-14</t>
  </si>
  <si>
    <t>多文件任务</t>
  </si>
  <si>
    <t>file_url包含2个以上url/file_name</t>
  </si>
  <si>
    <t>多文件下载</t>
  </si>
  <si>
    <t>DATA-15</t>
  </si>
  <si>
    <t>故障</t>
  </si>
  <si>
    <t>可控断网</t>
  </si>
  <si>
    <t>屏蔽蜂窝网络或服务器端断链</t>
  </si>
  <si>
    <t>重连与游客模式</t>
  </si>
  <si>
    <t>DATA-16</t>
  </si>
  <si>
    <t>RTP注入工具</t>
  </si>
  <si>
    <t>可设置序号、乱序、丢包、重复和速率</t>
  </si>
  <si>
    <t>抖动缓冲测试</t>
  </si>
  <si>
    <t>DATA-17</t>
  </si>
  <si>
    <t>日志</t>
  </si>
  <si>
    <t>统一时间基准</t>
  </si>
  <si>
    <t>两台设备及服务器时间误差小于100ms</t>
  </si>
  <si>
    <t>双端日志对齐</t>
  </si>
  <si>
    <t>当前限制与未完成功能</t>
  </si>
  <si>
    <t>编号</t>
  </si>
  <si>
    <t>限制项</t>
  </si>
  <si>
    <t>当前状态</t>
  </si>
  <si>
    <t>测试处理</t>
  </si>
  <si>
    <t>后续建议</t>
  </si>
  <si>
    <t>LIM-01</t>
  </si>
  <si>
    <t>跌倒检测告警闭环</t>
  </si>
  <si>
    <t>当前只有UI开关，未形成完整检测、上报、告警和恢复闭环</t>
  </si>
  <si>
    <t>仅确认当前UI行为</t>
  </si>
  <si>
    <t>另立需求补充传感器算法和告警协议</t>
  </si>
  <si>
    <t>LIM-02</t>
  </si>
  <si>
    <t>单呼成员离线自动解散</t>
  </si>
  <si>
    <t>刷新后成员离线时自动解散尚未实现</t>
  </si>
  <si>
    <t>记录当前行为，不作为通过项</t>
  </si>
  <si>
    <t>补充状态机和回归用例</t>
  </si>
  <si>
    <t>LIM-03</t>
  </si>
  <si>
    <t>充电状态</t>
  </si>
  <si>
    <t>硬件充电状态接口尚未接入</t>
  </si>
  <si>
    <t>仅测试电压和电量</t>
  </si>
  <si>
    <t>接口确认后补充充电中/充满场景</t>
  </si>
  <si>
    <t>LIM-04</t>
  </si>
  <si>
    <t>专网MQTT</t>
  </si>
  <si>
    <t>专网地址目前为占位值</t>
  </si>
  <si>
    <t>正式参数缺失时标记阻塞</t>
  </si>
  <si>
    <t>获取真实专网参数后执行</t>
  </si>
  <si>
    <t>LIM-05</t>
  </si>
  <si>
    <t>平台主动OTA</t>
  </si>
  <si>
    <t>当前仅支持设备主动查询升级</t>
  </si>
  <si>
    <t>主动推送不得启动升级</t>
  </si>
  <si>
    <t>后续若需要另行设计协议</t>
  </si>
  <si>
    <t>LIM-06</t>
  </si>
  <si>
    <t>OTA百分比</t>
  </si>
  <si>
    <t>官方接口不提供百分比</t>
  </si>
  <si>
    <t>只验收准备、下载中、下载完成、重启和结果状态</t>
  </si>
  <si>
    <t>无需模拟百分比</t>
  </si>
  <si>
    <t>LIM-07</t>
  </si>
  <si>
    <t>多设备肩灯统一相位</t>
  </si>
  <si>
    <t>同步方案尚未实现</t>
  </si>
  <si>
    <t>仅记录当前相位差</t>
  </si>
  <si>
    <t>服务器毫秒时间与统一边界方案另行实现</t>
  </si>
  <si>
    <t>LIM-08</t>
  </si>
  <si>
    <t>HTTP完整原始日志</t>
  </si>
  <si>
    <t>目前用于联调，后续可能删除</t>
  </si>
  <si>
    <t>确认内容完整且不影响运行</t>
  </si>
  <si>
    <t>量产前评估日志级别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</si>
</sst>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%"/>
  </numFmts>
  <fonts count="27">
    <font>
      <sz val="11"/>
      <name val="Carlito"/>
      <charset val="134"/>
    </font>
    <font>
      <b/>
      <sz val="15"/>
      <color rgb="FF1F2937"/>
      <name val="Arial"/>
      <charset val="134"/>
    </font>
    <font>
      <sz val="11"/>
      <name val="Arial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0"/>
      <color rgb="FF1F2937"/>
      <name val="Arial"/>
      <charset val="134"/>
    </font>
    <font>
      <b/>
      <sz val="10"/>
      <color rgb="FF7F6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2" fillId="0" borderId="1" xfId="49" applyNumberFormat="1" applyFont="1" applyFill="1" applyBorder="1"/>
    <xf numFmtId="0" fontId="3" fillId="2" borderId="2" xfId="49" applyNumberFormat="1" applyFont="1" applyFill="1" applyBorder="1" applyAlignment="1">
      <alignment horizontal="center" vertical="center" wrapText="1"/>
    </xf>
    <xf numFmtId="0" fontId="3" fillId="2" borderId="3" xfId="49" applyNumberFormat="1" applyFont="1" applyFill="1" applyBorder="1" applyAlignment="1">
      <alignment horizontal="center" vertical="center" wrapText="1"/>
    </xf>
    <xf numFmtId="0" fontId="3" fillId="2" borderId="4" xfId="49" applyNumberFormat="1" applyFont="1" applyFill="1" applyBorder="1" applyAlignment="1">
      <alignment horizontal="center" vertical="center" wrapText="1"/>
    </xf>
    <xf numFmtId="0" fontId="4" fillId="0" borderId="5" xfId="49" applyNumberFormat="1" applyFont="1" applyFill="1" applyBorder="1" applyAlignment="1">
      <alignment vertical="top" wrapText="1"/>
    </xf>
    <xf numFmtId="0" fontId="4" fillId="0" borderId="6" xfId="49" applyNumberFormat="1" applyFont="1" applyFill="1" applyBorder="1" applyAlignment="1">
      <alignment vertical="top" wrapText="1"/>
    </xf>
    <xf numFmtId="0" fontId="4" fillId="0" borderId="7" xfId="49" applyNumberFormat="1" applyFont="1" applyFill="1" applyBorder="1" applyAlignment="1">
      <alignment vertical="top" wrapText="1"/>
    </xf>
    <xf numFmtId="0" fontId="4" fillId="0" borderId="8" xfId="49" applyNumberFormat="1" applyFont="1" applyFill="1" applyBorder="1" applyAlignment="1">
      <alignment vertical="top" wrapText="1"/>
    </xf>
    <xf numFmtId="0" fontId="4" fillId="0" borderId="9" xfId="49" applyNumberFormat="1" applyFont="1" applyFill="1" applyBorder="1" applyAlignment="1">
      <alignment vertical="top" wrapText="1"/>
    </xf>
    <xf numFmtId="0" fontId="4" fillId="0" borderId="10" xfId="49" applyNumberFormat="1" applyFont="1" applyFill="1" applyBorder="1" applyAlignment="1">
      <alignment vertical="top" wrapText="1"/>
    </xf>
    <xf numFmtId="0" fontId="4" fillId="0" borderId="11" xfId="49" applyNumberFormat="1" applyFont="1" applyFill="1" applyBorder="1" applyAlignment="1">
      <alignment vertical="top" wrapText="1"/>
    </xf>
    <xf numFmtId="0" fontId="4" fillId="0" borderId="12" xfId="49" applyNumberFormat="1" applyFont="1" applyFill="1" applyBorder="1" applyAlignment="1">
      <alignment vertical="top" wrapText="1"/>
    </xf>
    <xf numFmtId="0" fontId="4" fillId="0" borderId="13" xfId="49" applyNumberFormat="1" applyFont="1" applyFill="1" applyBorder="1" applyAlignment="1">
      <alignment vertical="top" wrapText="1"/>
    </xf>
    <xf numFmtId="0" fontId="4" fillId="0" borderId="5" xfId="49" applyNumberFormat="1" applyFont="1" applyFill="1" applyBorder="1" applyAlignment="1">
      <alignment horizontal="center" vertical="top" wrapText="1"/>
    </xf>
    <xf numFmtId="0" fontId="4" fillId="0" borderId="6" xfId="49" applyNumberFormat="1" applyFont="1" applyFill="1" applyBorder="1" applyAlignment="1">
      <alignment horizontal="center" vertical="top" wrapText="1"/>
    </xf>
    <xf numFmtId="176" fontId="4" fillId="0" borderId="6" xfId="49" applyNumberFormat="1" applyFont="1" applyFill="1" applyBorder="1" applyAlignment="1">
      <alignment horizontal="center" vertical="top" wrapText="1"/>
    </xf>
    <xf numFmtId="0" fontId="4" fillId="0" borderId="8" xfId="49" applyNumberFormat="1" applyFont="1" applyFill="1" applyBorder="1" applyAlignment="1">
      <alignment horizontal="center" vertical="top" wrapText="1"/>
    </xf>
    <xf numFmtId="0" fontId="4" fillId="0" borderId="9" xfId="49" applyNumberFormat="1" applyFont="1" applyFill="1" applyBorder="1" applyAlignment="1">
      <alignment horizontal="center" vertical="top" wrapText="1"/>
    </xf>
    <xf numFmtId="176" fontId="4" fillId="0" borderId="9" xfId="49" applyNumberFormat="1" applyFont="1" applyFill="1" applyBorder="1" applyAlignment="1">
      <alignment horizontal="center" vertical="top" wrapText="1"/>
    </xf>
    <xf numFmtId="0" fontId="4" fillId="0" borderId="11" xfId="49" applyNumberFormat="1" applyFont="1" applyFill="1" applyBorder="1" applyAlignment="1">
      <alignment horizontal="center" vertical="top" wrapText="1"/>
    </xf>
    <xf numFmtId="0" fontId="4" fillId="0" borderId="12" xfId="49" applyNumberFormat="1" applyFont="1" applyFill="1" applyBorder="1" applyAlignment="1">
      <alignment horizontal="center" vertical="top" wrapText="1"/>
    </xf>
    <xf numFmtId="176" fontId="4" fillId="0" borderId="12" xfId="49" applyNumberFormat="1" applyFont="1" applyFill="1" applyBorder="1" applyAlignment="1">
      <alignment horizontal="center" vertical="top" wrapText="1"/>
    </xf>
    <xf numFmtId="177" fontId="4" fillId="0" borderId="7" xfId="49" applyNumberFormat="1" applyFont="1" applyFill="1" applyBorder="1" applyAlignment="1">
      <alignment vertical="top" wrapText="1"/>
    </xf>
    <xf numFmtId="177" fontId="4" fillId="0" borderId="10" xfId="49" applyNumberFormat="1" applyFont="1" applyFill="1" applyBorder="1" applyAlignment="1">
      <alignment vertical="top" wrapText="1"/>
    </xf>
    <xf numFmtId="177" fontId="4" fillId="0" borderId="13" xfId="49" applyNumberFormat="1" applyFont="1" applyFill="1" applyBorder="1" applyAlignment="1">
      <alignment vertical="top" wrapText="1"/>
    </xf>
    <xf numFmtId="0" fontId="5" fillId="3" borderId="5" xfId="49" applyNumberFormat="1" applyFont="1" applyFill="1" applyBorder="1" applyAlignment="1">
      <alignment vertical="top" wrapText="1"/>
    </xf>
    <xf numFmtId="0" fontId="5" fillId="3" borderId="8" xfId="49" applyNumberFormat="1" applyFont="1" applyFill="1" applyBorder="1" applyAlignment="1">
      <alignment vertical="top" wrapText="1"/>
    </xf>
    <xf numFmtId="0" fontId="5" fillId="3" borderId="11" xfId="49" applyNumberFormat="1" applyFont="1" applyFill="1" applyBorder="1" applyAlignment="1">
      <alignment vertical="top" wrapText="1"/>
    </xf>
    <xf numFmtId="0" fontId="6" fillId="4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stCasesTable" displayName="TestCasesTable" ref="A5:Q221" totalsRowShown="0">
  <tableColumns count="17">
    <tableColumn id="1" name="用例编号"/>
    <tableColumn id="2" name="模块"/>
    <tableColumn id="3" name="功能点"/>
    <tableColumn id="4" name="需求路径"/>
    <tableColumn id="5" name="优先级"/>
    <tableColumn id="6" name="测试类型"/>
    <tableColumn id="7" name="前置条件"/>
    <tableColumn id="8" name="测试数据"/>
    <tableColumn id="9" name="操作步骤"/>
    <tableColumn id="10" name="预期结果"/>
    <tableColumn id="11" name="日志检查点"/>
    <tableColumn id="12" name="实际结果"/>
    <tableColumn id="13" name="执行状态"/>
    <tableColumn id="14" name="缺陷编号"/>
    <tableColumn id="15" name="测试人员"/>
    <tableColumn id="16" name="执行日期"/>
    <tableColumn id="17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2:H18"/>
  <sheetViews>
    <sheetView showGridLines="0" workbookViewId="0">
      <selection activeCell="A1" sqref="A1"/>
    </sheetView>
  </sheetViews>
  <sheetFormatPr defaultColWidth="9" defaultRowHeight="13.65" outlineLevelCol="7"/>
  <cols>
    <col min="1" max="1" width="18" customWidth="1"/>
    <col min="2" max="2" width="78" customWidth="1"/>
  </cols>
  <sheetData>
    <row r="2" ht="19" spans="1:8">
      <c r="A2" s="1" t="s">
        <v>0</v>
      </c>
      <c r="B2" s="2"/>
      <c r="C2" s="2"/>
      <c r="D2" s="2"/>
      <c r="E2" s="2"/>
      <c r="F2" s="2"/>
      <c r="G2" s="2"/>
      <c r="H2" s="2"/>
    </row>
    <row r="3" ht="14.4" spans="1:8">
      <c r="A3" s="3"/>
      <c r="B3" s="3"/>
      <c r="C3" s="3"/>
      <c r="D3" s="3"/>
      <c r="E3" s="3"/>
      <c r="F3" s="3"/>
      <c r="G3" s="3"/>
      <c r="H3" s="3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8" t="s">
        <v>1</v>
      </c>
      <c r="B5" s="9" t="s">
        <v>2</v>
      </c>
      <c r="C5" s="2"/>
      <c r="D5" s="2"/>
      <c r="E5" s="2"/>
      <c r="F5" s="2"/>
      <c r="G5" s="2"/>
      <c r="H5" s="2"/>
    </row>
    <row r="6" spans="1:8">
      <c r="A6" s="29" t="s">
        <v>3</v>
      </c>
      <c r="B6" s="12" t="s">
        <v>4</v>
      </c>
      <c r="C6" s="2"/>
      <c r="D6" s="2"/>
      <c r="E6" s="2"/>
      <c r="F6" s="2"/>
      <c r="G6" s="2"/>
      <c r="H6" s="2"/>
    </row>
    <row r="7" spans="1:8">
      <c r="A7" s="29" t="s">
        <v>5</v>
      </c>
      <c r="B7" s="12" t="s">
        <v>6</v>
      </c>
      <c r="C7" s="2"/>
      <c r="D7" s="2"/>
      <c r="E7" s="2"/>
      <c r="F7" s="2"/>
      <c r="G7" s="2"/>
      <c r="H7" s="2"/>
    </row>
    <row r="8" spans="1:8">
      <c r="A8" s="29" t="s">
        <v>7</v>
      </c>
      <c r="B8" s="12" t="s">
        <v>8</v>
      </c>
      <c r="C8" s="2"/>
      <c r="D8" s="2"/>
      <c r="E8" s="2"/>
      <c r="F8" s="2"/>
      <c r="G8" s="2"/>
      <c r="H8" s="2"/>
    </row>
    <row r="9" spans="1:8">
      <c r="A9" s="29" t="s">
        <v>9</v>
      </c>
      <c r="B9" s="12" t="s">
        <v>10</v>
      </c>
      <c r="C9" s="2"/>
      <c r="D9" s="2"/>
      <c r="E9" s="2"/>
      <c r="F9" s="2"/>
      <c r="G9" s="2"/>
      <c r="H9" s="2"/>
    </row>
    <row r="10" spans="1:8">
      <c r="A10" s="29" t="s">
        <v>11</v>
      </c>
      <c r="B10" s="12">
        <v>216</v>
      </c>
      <c r="C10" s="2"/>
      <c r="D10" s="2"/>
      <c r="E10" s="2"/>
      <c r="F10" s="2"/>
      <c r="G10" s="2"/>
      <c r="H10" s="2"/>
    </row>
    <row r="11" spans="1:8">
      <c r="A11" s="29" t="s">
        <v>12</v>
      </c>
      <c r="B11" s="12" t="s">
        <v>13</v>
      </c>
      <c r="C11" s="2"/>
      <c r="D11" s="2"/>
      <c r="E11" s="2"/>
      <c r="F11" s="2"/>
      <c r="G11" s="2"/>
      <c r="H11" s="2"/>
    </row>
    <row r="12" spans="1:8">
      <c r="A12" s="29" t="s">
        <v>14</v>
      </c>
      <c r="B12" s="12" t="s">
        <v>15</v>
      </c>
      <c r="C12" s="2"/>
      <c r="D12" s="2"/>
      <c r="E12" s="2"/>
      <c r="F12" s="2"/>
      <c r="G12" s="2"/>
      <c r="H12" s="2"/>
    </row>
    <row r="13" spans="1:8">
      <c r="A13" s="29" t="s">
        <v>16</v>
      </c>
      <c r="B13" s="12" t="s">
        <v>17</v>
      </c>
      <c r="C13" s="2"/>
      <c r="D13" s="2"/>
      <c r="E13" s="2"/>
      <c r="F13" s="2"/>
      <c r="G13" s="2"/>
      <c r="H13" s="2"/>
    </row>
    <row r="14" spans="1:8">
      <c r="A14" s="29" t="s">
        <v>18</v>
      </c>
      <c r="B14" s="12" t="s">
        <v>19</v>
      </c>
      <c r="C14" s="2"/>
      <c r="D14" s="2"/>
      <c r="E14" s="2"/>
      <c r="F14" s="2"/>
      <c r="G14" s="2"/>
      <c r="H14" s="2"/>
    </row>
    <row r="15" spans="1:8">
      <c r="A15" s="29" t="s">
        <v>20</v>
      </c>
      <c r="B15" s="12" t="s">
        <v>21</v>
      </c>
      <c r="C15" s="2"/>
      <c r="D15" s="2"/>
      <c r="E15" s="2"/>
      <c r="F15" s="2"/>
      <c r="G15" s="2"/>
      <c r="H15" s="2"/>
    </row>
    <row r="16" spans="1:8">
      <c r="A16" s="30" t="s">
        <v>22</v>
      </c>
      <c r="B16" s="15" t="s">
        <v>23</v>
      </c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ht="42" customHeight="1" spans="1:8">
      <c r="A18" s="31" t="s">
        <v>24</v>
      </c>
      <c r="B18" s="2"/>
      <c r="C18" s="2"/>
      <c r="D18" s="2"/>
      <c r="E18" s="2"/>
      <c r="F18" s="2"/>
      <c r="G18" s="2"/>
      <c r="H18" s="2"/>
    </row>
  </sheetData>
  <mergeCells count="2">
    <mergeCell ref="A2:H2"/>
    <mergeCell ref="A18:H1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</sheetPr>
  <dimension ref="A2:J27"/>
  <sheetViews>
    <sheetView showGridLines="0" workbookViewId="0">
      <selection activeCell="A1" sqref="A1"/>
    </sheetView>
  </sheetViews>
  <sheetFormatPr defaultColWidth="9" defaultRowHeight="13.65"/>
  <cols>
    <col min="1" max="2" width="18" customWidth="1"/>
    <col min="4" max="4" width="24" customWidth="1"/>
    <col min="5" max="6" width="12" customWidth="1"/>
    <col min="7" max="7" width="14" customWidth="1"/>
  </cols>
  <sheetData>
    <row r="2" ht="19" spans="1:10">
      <c r="A2" s="1" t="s">
        <v>25</v>
      </c>
      <c r="B2" s="2"/>
      <c r="C2" s="2"/>
      <c r="D2" s="2"/>
      <c r="E2" s="2"/>
      <c r="F2" s="2"/>
      <c r="G2" s="2"/>
      <c r="H2" s="2"/>
      <c r="I2" s="2"/>
      <c r="J2" s="2"/>
    </row>
    <row r="3" ht="14.4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ht="30" customHeight="1" spans="1:10">
      <c r="A5" s="4" t="s">
        <v>26</v>
      </c>
      <c r="B5" s="6" t="s">
        <v>27</v>
      </c>
      <c r="C5" s="2"/>
      <c r="D5" s="4" t="s">
        <v>28</v>
      </c>
      <c r="E5" s="5" t="s">
        <v>29</v>
      </c>
      <c r="F5" s="5" t="s">
        <v>30</v>
      </c>
      <c r="G5" s="6" t="s">
        <v>31</v>
      </c>
      <c r="H5" s="2"/>
      <c r="I5" s="2"/>
      <c r="J5" s="2"/>
    </row>
    <row r="6" spans="1:10">
      <c r="A6" s="7" t="s">
        <v>32</v>
      </c>
      <c r="B6" s="9">
        <f>COUNTA(测试用例!$A$6:$A$221)</f>
        <v>216</v>
      </c>
      <c r="C6" s="2"/>
      <c r="D6" s="7" t="s">
        <v>33</v>
      </c>
      <c r="E6" s="8">
        <f>COUNTIF(测试用例!$B$6:$B$221,D6)</f>
        <v>8</v>
      </c>
      <c r="F6" s="8">
        <f>COUNTIFS(测试用例!$B$6:$B$221,D6,测试用例!$M$6:$M$221,"&lt;&gt;未执行",测试用例!$M$6:$M$221,"&lt;&gt;")</f>
        <v>0</v>
      </c>
      <c r="G6" s="25">
        <f>IF(F6=0,0,COUNTIFS(测试用例!$B$6:$B$221,D6,测试用例!$M$6:$M$221,"通过")/F6)</f>
        <v>0</v>
      </c>
      <c r="H6" s="2"/>
      <c r="I6" s="2"/>
      <c r="J6" s="2"/>
    </row>
    <row r="7" spans="1:10">
      <c r="A7" s="10" t="s">
        <v>34</v>
      </c>
      <c r="B7" s="12">
        <f>COUNTIF(测试用例!$E$6:$E$221,"P0")</f>
        <v>123</v>
      </c>
      <c r="C7" s="2"/>
      <c r="D7" s="10" t="s">
        <v>35</v>
      </c>
      <c r="E7" s="11">
        <f>COUNTIF(测试用例!$B$6:$B$221,D7)</f>
        <v>3</v>
      </c>
      <c r="F7" s="11">
        <f>COUNTIFS(测试用例!$B$6:$B$221,D7,测试用例!$M$6:$M$221,"&lt;&gt;未执行",测试用例!$M$6:$M$221,"&lt;&gt;")</f>
        <v>0</v>
      </c>
      <c r="G7" s="26">
        <f>IF(F7=0,0,COUNTIFS(测试用例!$B$6:$B$221,D7,测试用例!$M$6:$M$221,"通过")/F7)</f>
        <v>0</v>
      </c>
      <c r="H7" s="2"/>
      <c r="I7" s="2"/>
      <c r="J7" s="2"/>
    </row>
    <row r="8" spans="1:10">
      <c r="A8" s="10" t="s">
        <v>36</v>
      </c>
      <c r="B8" s="12">
        <f>COUNTIF(测试用例!$E$6:$E$221,"P1")</f>
        <v>78</v>
      </c>
      <c r="C8" s="2"/>
      <c r="D8" s="10" t="s">
        <v>37</v>
      </c>
      <c r="E8" s="11">
        <f>COUNTIF(测试用例!$B$6:$B$221,D8)</f>
        <v>7</v>
      </c>
      <c r="F8" s="11">
        <f>COUNTIFS(测试用例!$B$6:$B$221,D8,测试用例!$M$6:$M$221,"&lt;&gt;未执行",测试用例!$M$6:$M$221,"&lt;&gt;")</f>
        <v>0</v>
      </c>
      <c r="G8" s="26">
        <f>IF(F8=0,0,COUNTIFS(测试用例!$B$6:$B$221,D8,测试用例!$M$6:$M$221,"通过")/F8)</f>
        <v>0</v>
      </c>
      <c r="H8" s="2"/>
      <c r="I8" s="2"/>
      <c r="J8" s="2"/>
    </row>
    <row r="9" spans="1:10">
      <c r="A9" s="10" t="s">
        <v>38</v>
      </c>
      <c r="B9" s="12">
        <f>COUNTIF(测试用例!$E$6:$E$221,"P2")</f>
        <v>15</v>
      </c>
      <c r="C9" s="2"/>
      <c r="D9" s="10" t="s">
        <v>39</v>
      </c>
      <c r="E9" s="11">
        <f>COUNTIF(测试用例!$B$6:$B$221,D9)</f>
        <v>9</v>
      </c>
      <c r="F9" s="11">
        <f>COUNTIFS(测试用例!$B$6:$B$221,D9,测试用例!$M$6:$M$221,"&lt;&gt;未执行",测试用例!$M$6:$M$221,"&lt;&gt;")</f>
        <v>0</v>
      </c>
      <c r="G9" s="26">
        <f>IF(F9=0,0,COUNTIFS(测试用例!$B$6:$B$221,D9,测试用例!$M$6:$M$221,"通过")/F9)</f>
        <v>0</v>
      </c>
      <c r="H9" s="2"/>
      <c r="I9" s="2"/>
      <c r="J9" s="2"/>
    </row>
    <row r="10" spans="1:10">
      <c r="A10" s="10" t="s">
        <v>40</v>
      </c>
      <c r="B10" s="12">
        <f>COUNTIF(测试用例!$M$6:$M$221,"通过")</f>
        <v>0</v>
      </c>
      <c r="C10" s="2"/>
      <c r="D10" s="10" t="s">
        <v>41</v>
      </c>
      <c r="E10" s="11">
        <f>COUNTIF(测试用例!$B$6:$B$221,D10)</f>
        <v>10</v>
      </c>
      <c r="F10" s="11">
        <f>COUNTIFS(测试用例!$B$6:$B$221,D10,测试用例!$M$6:$M$221,"&lt;&gt;未执行",测试用例!$M$6:$M$221,"&lt;&gt;")</f>
        <v>0</v>
      </c>
      <c r="G10" s="26">
        <f>IF(F10=0,0,COUNTIFS(测试用例!$B$6:$B$221,D10,测试用例!$M$6:$M$221,"通过")/F10)</f>
        <v>0</v>
      </c>
      <c r="H10" s="2"/>
      <c r="I10" s="2"/>
      <c r="J10" s="2"/>
    </row>
    <row r="11" spans="1:10">
      <c r="A11" s="10" t="s">
        <v>42</v>
      </c>
      <c r="B11" s="12">
        <f>COUNTIF(测试用例!$M$6:$M$221,"失败")</f>
        <v>0</v>
      </c>
      <c r="C11" s="2"/>
      <c r="D11" s="10" t="s">
        <v>43</v>
      </c>
      <c r="E11" s="11">
        <f>COUNTIF(测试用例!$B$6:$B$221,D11)</f>
        <v>14</v>
      </c>
      <c r="F11" s="11">
        <f>COUNTIFS(测试用例!$B$6:$B$221,D11,测试用例!$M$6:$M$221,"&lt;&gt;未执行",测试用例!$M$6:$M$221,"&lt;&gt;")</f>
        <v>0</v>
      </c>
      <c r="G11" s="26">
        <f>IF(F11=0,0,COUNTIFS(测试用例!$B$6:$B$221,D11,测试用例!$M$6:$M$221,"通过")/F11)</f>
        <v>0</v>
      </c>
      <c r="H11" s="2"/>
      <c r="I11" s="2"/>
      <c r="J11" s="2"/>
    </row>
    <row r="12" spans="1:10">
      <c r="A12" s="13" t="s">
        <v>44</v>
      </c>
      <c r="B12" s="15">
        <f>COUNTIF(测试用例!$M$6:$M$221,"阻塞")</f>
        <v>0</v>
      </c>
      <c r="C12" s="2"/>
      <c r="D12" s="10" t="s">
        <v>45</v>
      </c>
      <c r="E12" s="11">
        <f>COUNTIF(测试用例!$B$6:$B$221,D12)</f>
        <v>7</v>
      </c>
      <c r="F12" s="11">
        <f>COUNTIFS(测试用例!$B$6:$B$221,D12,测试用例!$M$6:$M$221,"&lt;&gt;未执行",测试用例!$M$6:$M$221,"&lt;&gt;")</f>
        <v>0</v>
      </c>
      <c r="G12" s="26">
        <f>IF(F12=0,0,COUNTIFS(测试用例!$B$6:$B$221,D12,测试用例!$M$6:$M$221,"通过")/F12)</f>
        <v>0</v>
      </c>
      <c r="H12" s="2"/>
      <c r="I12" s="2"/>
      <c r="J12" s="2"/>
    </row>
    <row r="13" spans="1:10">
      <c r="A13" s="2"/>
      <c r="B13" s="2"/>
      <c r="C13" s="2"/>
      <c r="D13" s="10" t="s">
        <v>46</v>
      </c>
      <c r="E13" s="11">
        <f>COUNTIF(测试用例!$B$6:$B$221,D13)</f>
        <v>9</v>
      </c>
      <c r="F13" s="11">
        <f>COUNTIFS(测试用例!$B$6:$B$221,D13,测试用例!$M$6:$M$221,"&lt;&gt;未执行",测试用例!$M$6:$M$221,"&lt;&gt;")</f>
        <v>0</v>
      </c>
      <c r="G13" s="26">
        <f>IF(F13=0,0,COUNTIFS(测试用例!$B$6:$B$221,D13,测试用例!$M$6:$M$221,"通过")/F13)</f>
        <v>0</v>
      </c>
      <c r="H13" s="2"/>
      <c r="I13" s="2"/>
      <c r="J13" s="2"/>
    </row>
    <row r="14" spans="1:10">
      <c r="A14" s="2"/>
      <c r="B14" s="2"/>
      <c r="C14" s="2"/>
      <c r="D14" s="10" t="s">
        <v>47</v>
      </c>
      <c r="E14" s="11">
        <f>COUNTIF(测试用例!$B$6:$B$221,D14)</f>
        <v>9</v>
      </c>
      <c r="F14" s="11">
        <f>COUNTIFS(测试用例!$B$6:$B$221,D14,测试用例!$M$6:$M$221,"&lt;&gt;未执行",测试用例!$M$6:$M$221,"&lt;&gt;")</f>
        <v>0</v>
      </c>
      <c r="G14" s="26">
        <f>IF(F14=0,0,COUNTIFS(测试用例!$B$6:$B$221,D14,测试用例!$M$6:$M$221,"通过")/F14)</f>
        <v>0</v>
      </c>
      <c r="H14" s="2"/>
      <c r="I14" s="2"/>
      <c r="J14" s="2"/>
    </row>
    <row r="15" spans="1:10">
      <c r="A15" s="2"/>
      <c r="B15" s="2"/>
      <c r="C15" s="2"/>
      <c r="D15" s="10" t="s">
        <v>48</v>
      </c>
      <c r="E15" s="11">
        <f>COUNTIF(测试用例!$B$6:$B$221,D15)</f>
        <v>10</v>
      </c>
      <c r="F15" s="11">
        <f>COUNTIFS(测试用例!$B$6:$B$221,D15,测试用例!$M$6:$M$221,"&lt;&gt;未执行",测试用例!$M$6:$M$221,"&lt;&gt;")</f>
        <v>0</v>
      </c>
      <c r="G15" s="26">
        <f>IF(F15=0,0,COUNTIFS(测试用例!$B$6:$B$221,D15,测试用例!$M$6:$M$221,"通过")/F15)</f>
        <v>0</v>
      </c>
      <c r="H15" s="2"/>
      <c r="I15" s="2"/>
      <c r="J15" s="2"/>
    </row>
    <row r="16" spans="1:10">
      <c r="A16" s="2"/>
      <c r="B16" s="2"/>
      <c r="C16" s="2"/>
      <c r="D16" s="10" t="s">
        <v>49</v>
      </c>
      <c r="E16" s="11">
        <f>COUNTIF(测试用例!$B$6:$B$221,D16)</f>
        <v>23</v>
      </c>
      <c r="F16" s="11">
        <f>COUNTIFS(测试用例!$B$6:$B$221,D16,测试用例!$M$6:$M$221,"&lt;&gt;未执行",测试用例!$M$6:$M$221,"&lt;&gt;")</f>
        <v>0</v>
      </c>
      <c r="G16" s="26">
        <f>IF(F16=0,0,COUNTIFS(测试用例!$B$6:$B$221,D16,测试用例!$M$6:$M$221,"通过")/F16)</f>
        <v>0</v>
      </c>
      <c r="H16" s="2"/>
      <c r="I16" s="2"/>
      <c r="J16" s="2"/>
    </row>
    <row r="17" spans="1:10">
      <c r="A17" s="2"/>
      <c r="B17" s="2"/>
      <c r="C17" s="2"/>
      <c r="D17" s="10" t="s">
        <v>50</v>
      </c>
      <c r="E17" s="11">
        <f>COUNTIF(测试用例!$B$6:$B$221,D17)</f>
        <v>6</v>
      </c>
      <c r="F17" s="11">
        <f>COUNTIFS(测试用例!$B$6:$B$221,D17,测试用例!$M$6:$M$221,"&lt;&gt;未执行",测试用例!$M$6:$M$221,"&lt;&gt;")</f>
        <v>0</v>
      </c>
      <c r="G17" s="26">
        <f>IF(F17=0,0,COUNTIFS(测试用例!$B$6:$B$221,D17,测试用例!$M$6:$M$221,"通过")/F17)</f>
        <v>0</v>
      </c>
      <c r="H17" s="2"/>
      <c r="I17" s="2"/>
      <c r="J17" s="2"/>
    </row>
    <row r="18" spans="1:10">
      <c r="A18" s="2"/>
      <c r="B18" s="2"/>
      <c r="C18" s="2"/>
      <c r="D18" s="10" t="s">
        <v>51</v>
      </c>
      <c r="E18" s="11">
        <f>COUNTIF(测试用例!$B$6:$B$221,D18)</f>
        <v>7</v>
      </c>
      <c r="F18" s="11">
        <f>COUNTIFS(测试用例!$B$6:$B$221,D18,测试用例!$M$6:$M$221,"&lt;&gt;未执行",测试用例!$M$6:$M$221,"&lt;&gt;")</f>
        <v>0</v>
      </c>
      <c r="G18" s="26">
        <f>IF(F18=0,0,COUNTIFS(测试用例!$B$6:$B$221,D18,测试用例!$M$6:$M$221,"通过")/F18)</f>
        <v>0</v>
      </c>
      <c r="H18" s="2"/>
      <c r="I18" s="2"/>
      <c r="J18" s="2"/>
    </row>
    <row r="19" spans="1:10">
      <c r="A19" s="2"/>
      <c r="B19" s="2"/>
      <c r="C19" s="2"/>
      <c r="D19" s="10" t="s">
        <v>52</v>
      </c>
      <c r="E19" s="11">
        <f>COUNTIF(测试用例!$B$6:$B$221,D19)</f>
        <v>7</v>
      </c>
      <c r="F19" s="11">
        <f>COUNTIFS(测试用例!$B$6:$B$221,D19,测试用例!$M$6:$M$221,"&lt;&gt;未执行",测试用例!$M$6:$M$221,"&lt;&gt;")</f>
        <v>0</v>
      </c>
      <c r="G19" s="26">
        <f>IF(F19=0,0,COUNTIFS(测试用例!$B$6:$B$221,D19,测试用例!$M$6:$M$221,"通过")/F19)</f>
        <v>0</v>
      </c>
      <c r="H19" s="2"/>
      <c r="I19" s="2"/>
      <c r="J19" s="2"/>
    </row>
    <row r="20" spans="1:10">
      <c r="A20" s="2"/>
      <c r="B20" s="2"/>
      <c r="C20" s="2"/>
      <c r="D20" s="10" t="s">
        <v>53</v>
      </c>
      <c r="E20" s="11">
        <f>COUNTIF(测试用例!$B$6:$B$221,D20)</f>
        <v>8</v>
      </c>
      <c r="F20" s="11">
        <f>COUNTIFS(测试用例!$B$6:$B$221,D20,测试用例!$M$6:$M$221,"&lt;&gt;未执行",测试用例!$M$6:$M$221,"&lt;&gt;")</f>
        <v>0</v>
      </c>
      <c r="G20" s="26">
        <f>IF(F20=0,0,COUNTIFS(测试用例!$B$6:$B$221,D20,测试用例!$M$6:$M$221,"通过")/F20)</f>
        <v>0</v>
      </c>
      <c r="H20" s="2"/>
      <c r="I20" s="2"/>
      <c r="J20" s="2"/>
    </row>
    <row r="21" spans="1:10">
      <c r="A21" s="2"/>
      <c r="B21" s="2"/>
      <c r="C21" s="2"/>
      <c r="D21" s="10" t="s">
        <v>54</v>
      </c>
      <c r="E21" s="11">
        <f>COUNTIF(测试用例!$B$6:$B$221,D21)</f>
        <v>12</v>
      </c>
      <c r="F21" s="11">
        <f>COUNTIFS(测试用例!$B$6:$B$221,D21,测试用例!$M$6:$M$221,"&lt;&gt;未执行",测试用例!$M$6:$M$221,"&lt;&gt;")</f>
        <v>0</v>
      </c>
      <c r="G21" s="26">
        <f>IF(F21=0,0,COUNTIFS(测试用例!$B$6:$B$221,D21,测试用例!$M$6:$M$221,"通过")/F21)</f>
        <v>0</v>
      </c>
      <c r="H21" s="2"/>
      <c r="I21" s="2"/>
      <c r="J21" s="2"/>
    </row>
    <row r="22" spans="1:10">
      <c r="A22" s="2"/>
      <c r="B22" s="2"/>
      <c r="C22" s="2"/>
      <c r="D22" s="10" t="s">
        <v>55</v>
      </c>
      <c r="E22" s="11">
        <f>COUNTIF(测试用例!$B$6:$B$221,D22)</f>
        <v>8</v>
      </c>
      <c r="F22" s="11">
        <f>COUNTIFS(测试用例!$B$6:$B$221,D22,测试用例!$M$6:$M$221,"&lt;&gt;未执行",测试用例!$M$6:$M$221,"&lt;&gt;")</f>
        <v>0</v>
      </c>
      <c r="G22" s="26">
        <f>IF(F22=0,0,COUNTIFS(测试用例!$B$6:$B$221,D22,测试用例!$M$6:$M$221,"通过")/F22)</f>
        <v>0</v>
      </c>
      <c r="H22" s="2"/>
      <c r="I22" s="2"/>
      <c r="J22" s="2"/>
    </row>
    <row r="23" spans="1:10">
      <c r="A23" s="2"/>
      <c r="B23" s="2"/>
      <c r="C23" s="2"/>
      <c r="D23" s="10" t="s">
        <v>56</v>
      </c>
      <c r="E23" s="11">
        <f>COUNTIF(测试用例!$B$6:$B$221,D23)</f>
        <v>8</v>
      </c>
      <c r="F23" s="11">
        <f>COUNTIFS(测试用例!$B$6:$B$221,D23,测试用例!$M$6:$M$221,"&lt;&gt;未执行",测试用例!$M$6:$M$221,"&lt;&gt;")</f>
        <v>0</v>
      </c>
      <c r="G23" s="26">
        <f>IF(F23=0,0,COUNTIFS(测试用例!$B$6:$B$221,D23,测试用例!$M$6:$M$221,"通过")/F23)</f>
        <v>0</v>
      </c>
      <c r="H23" s="2"/>
      <c r="I23" s="2"/>
      <c r="J23" s="2"/>
    </row>
    <row r="24" spans="1:10">
      <c r="A24" s="2"/>
      <c r="B24" s="2"/>
      <c r="C24" s="2"/>
      <c r="D24" s="10" t="s">
        <v>57</v>
      </c>
      <c r="E24" s="11">
        <f>COUNTIF(测试用例!$B$6:$B$221,D24)</f>
        <v>34</v>
      </c>
      <c r="F24" s="11">
        <f>COUNTIFS(测试用例!$B$6:$B$221,D24,测试用例!$M$6:$M$221,"&lt;&gt;未执行",测试用例!$M$6:$M$221,"&lt;&gt;")</f>
        <v>0</v>
      </c>
      <c r="G24" s="26">
        <f>IF(F24=0,0,COUNTIFS(测试用例!$B$6:$B$221,D24,测试用例!$M$6:$M$221,"通过")/F24)</f>
        <v>0</v>
      </c>
      <c r="H24" s="2"/>
      <c r="I24" s="2"/>
      <c r="J24" s="2"/>
    </row>
    <row r="25" spans="1:10">
      <c r="A25" s="2"/>
      <c r="B25" s="2"/>
      <c r="C25" s="2"/>
      <c r="D25" s="10" t="s">
        <v>58</v>
      </c>
      <c r="E25" s="11">
        <f>COUNTIF(测试用例!$B$6:$B$221,D25)</f>
        <v>6</v>
      </c>
      <c r="F25" s="11">
        <f>COUNTIFS(测试用例!$B$6:$B$221,D25,测试用例!$M$6:$M$221,"&lt;&gt;未执行",测试用例!$M$6:$M$221,"&lt;&gt;")</f>
        <v>0</v>
      </c>
      <c r="G25" s="26">
        <f>IF(F25=0,0,COUNTIFS(测试用例!$B$6:$B$221,D25,测试用例!$M$6:$M$221,"通过")/F25)</f>
        <v>0</v>
      </c>
      <c r="H25" s="2"/>
      <c r="I25" s="2"/>
      <c r="J25" s="2"/>
    </row>
    <row r="26" spans="1:10">
      <c r="A26" s="2"/>
      <c r="B26" s="2"/>
      <c r="C26" s="2"/>
      <c r="D26" s="10" t="s">
        <v>59</v>
      </c>
      <c r="E26" s="11">
        <f>COUNTIF(测试用例!$B$6:$B$221,D26)</f>
        <v>5</v>
      </c>
      <c r="F26" s="11">
        <f>COUNTIFS(测试用例!$B$6:$B$221,D26,测试用例!$M$6:$M$221,"&lt;&gt;未执行",测试用例!$M$6:$M$221,"&lt;&gt;")</f>
        <v>0</v>
      </c>
      <c r="G26" s="26">
        <f>IF(F26=0,0,COUNTIFS(测试用例!$B$6:$B$221,D26,测试用例!$M$6:$M$221,"通过")/F26)</f>
        <v>0</v>
      </c>
      <c r="H26" s="2"/>
      <c r="I26" s="2"/>
      <c r="J26" s="2"/>
    </row>
    <row r="27" spans="1:10">
      <c r="A27" s="2"/>
      <c r="B27" s="2"/>
      <c r="C27" s="2"/>
      <c r="D27" s="13" t="s">
        <v>60</v>
      </c>
      <c r="E27" s="14">
        <f>COUNTIF(测试用例!$B$6:$B$221,D27)</f>
        <v>6</v>
      </c>
      <c r="F27" s="14">
        <f>COUNTIFS(测试用例!$B$6:$B$221,D27,测试用例!$M$6:$M$221,"&lt;&gt;未执行",测试用例!$M$6:$M$221,"&lt;&gt;")</f>
        <v>0</v>
      </c>
      <c r="G27" s="27">
        <f>IF(F27=0,0,COUNTIFS(测试用例!$B$6:$B$221,D27,测试用例!$M$6:$M$221,"通过")/F27)</f>
        <v>0</v>
      </c>
      <c r="H27" s="2"/>
      <c r="I27" s="2"/>
      <c r="J27" s="2"/>
    </row>
  </sheetData>
  <mergeCells count="1">
    <mergeCell ref="A2:J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2:Q221"/>
  <sheetViews>
    <sheetView showGridLines="0" tabSelected="1" workbookViewId="0">
      <pane xSplit="3" ySplit="5" topLeftCell="D107" activePane="bottomRight" state="frozen"/>
      <selection/>
      <selection pane="topRight"/>
      <selection pane="bottomLeft"/>
      <selection pane="bottomRight" activeCell="G6" sqref="G6"/>
    </sheetView>
  </sheetViews>
  <sheetFormatPr defaultColWidth="9" defaultRowHeight="13.65"/>
  <cols>
    <col min="1" max="1" width="12" customWidth="1"/>
    <col min="2" max="2" width="18" customWidth="1"/>
    <col min="3" max="3" width="28" customWidth="1"/>
    <col min="4" max="4" width="30" customWidth="1"/>
    <col min="5" max="5" width="9" customWidth="1"/>
    <col min="6" max="6" width="12" customWidth="1"/>
    <col min="7" max="7" width="30" customWidth="1"/>
    <col min="8" max="8" width="24" customWidth="1"/>
    <col min="9" max="10" width="42" customWidth="1"/>
    <col min="11" max="11" width="36" customWidth="1"/>
    <col min="12" max="12" width="30" customWidth="1"/>
    <col min="13" max="13" width="11" customWidth="1"/>
    <col min="14" max="14" width="14" customWidth="1"/>
    <col min="15" max="15" width="12" customWidth="1"/>
    <col min="16" max="16" width="13" customWidth="1"/>
    <col min="17" max="17" width="22" customWidth="1"/>
  </cols>
  <sheetData>
    <row r="2" ht="19" spans="1:17">
      <c r="A2" s="1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4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30" customHeight="1" spans="1:17">
      <c r="A5" s="4" t="s">
        <v>62</v>
      </c>
      <c r="B5" s="5" t="s">
        <v>28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14</v>
      </c>
      <c r="N5" s="5" t="s">
        <v>73</v>
      </c>
      <c r="O5" s="5" t="s">
        <v>74</v>
      </c>
      <c r="P5" s="5" t="s">
        <v>75</v>
      </c>
      <c r="Q5" s="6" t="s">
        <v>76</v>
      </c>
    </row>
    <row r="6" ht="68" customHeight="1" spans="1:17">
      <c r="A6" s="16" t="s">
        <v>77</v>
      </c>
      <c r="B6" s="8" t="s">
        <v>33</v>
      </c>
      <c r="C6" s="8" t="s">
        <v>78</v>
      </c>
      <c r="D6" s="8" t="s">
        <v>79</v>
      </c>
      <c r="E6" s="17" t="s">
        <v>34</v>
      </c>
      <c r="F6" s="17" t="s">
        <v>80</v>
      </c>
      <c r="G6" s="8" t="s">
        <v>81</v>
      </c>
      <c r="H6" s="8" t="s">
        <v>82</v>
      </c>
      <c r="I6" s="8" t="s">
        <v>83</v>
      </c>
      <c r="J6" s="8" t="s">
        <v>84</v>
      </c>
      <c r="K6" s="8" t="s">
        <v>85</v>
      </c>
      <c r="L6" s="8" t="s">
        <v>86</v>
      </c>
      <c r="M6" s="17" t="s">
        <v>87</v>
      </c>
      <c r="N6" s="17" t="s">
        <v>86</v>
      </c>
      <c r="O6" s="17" t="s">
        <v>86</v>
      </c>
      <c r="P6" s="18"/>
      <c r="Q6" s="9" t="s">
        <v>86</v>
      </c>
    </row>
    <row r="7" ht="68" customHeight="1" spans="1:17">
      <c r="A7" s="19" t="s">
        <v>88</v>
      </c>
      <c r="B7" s="11" t="s">
        <v>33</v>
      </c>
      <c r="C7" s="11" t="s">
        <v>89</v>
      </c>
      <c r="D7" s="11" t="s">
        <v>90</v>
      </c>
      <c r="E7" s="20" t="s">
        <v>36</v>
      </c>
      <c r="F7" s="20" t="s">
        <v>91</v>
      </c>
      <c r="G7" s="11" t="s">
        <v>92</v>
      </c>
      <c r="H7" s="11" t="s">
        <v>82</v>
      </c>
      <c r="I7" s="11" t="s">
        <v>93</v>
      </c>
      <c r="J7" s="11" t="s">
        <v>94</v>
      </c>
      <c r="K7" s="11" t="s">
        <v>95</v>
      </c>
      <c r="L7" s="11" t="s">
        <v>86</v>
      </c>
      <c r="M7" s="20" t="s">
        <v>87</v>
      </c>
      <c r="N7" s="20" t="s">
        <v>86</v>
      </c>
      <c r="O7" s="20" t="s">
        <v>86</v>
      </c>
      <c r="P7" s="21"/>
      <c r="Q7" s="12" t="s">
        <v>86</v>
      </c>
    </row>
    <row r="8" ht="68" customHeight="1" spans="1:17">
      <c r="A8" s="19" t="s">
        <v>96</v>
      </c>
      <c r="B8" s="11" t="s">
        <v>33</v>
      </c>
      <c r="C8" s="11" t="s">
        <v>97</v>
      </c>
      <c r="D8" s="11" t="s">
        <v>98</v>
      </c>
      <c r="E8" s="20" t="s">
        <v>36</v>
      </c>
      <c r="F8" s="20" t="s">
        <v>91</v>
      </c>
      <c r="G8" s="11" t="s">
        <v>99</v>
      </c>
      <c r="H8" s="11" t="s">
        <v>82</v>
      </c>
      <c r="I8" s="11" t="s">
        <v>100</v>
      </c>
      <c r="J8" s="11" t="s">
        <v>101</v>
      </c>
      <c r="K8" s="11" t="s">
        <v>102</v>
      </c>
      <c r="L8" s="11" t="s">
        <v>86</v>
      </c>
      <c r="M8" s="20" t="s">
        <v>87</v>
      </c>
      <c r="N8" s="20" t="s">
        <v>86</v>
      </c>
      <c r="O8" s="20" t="s">
        <v>86</v>
      </c>
      <c r="P8" s="21"/>
      <c r="Q8" s="12" t="s">
        <v>86</v>
      </c>
    </row>
    <row r="9" ht="68" customHeight="1" spans="1:17">
      <c r="A9" s="19" t="s">
        <v>103</v>
      </c>
      <c r="B9" s="11" t="s">
        <v>33</v>
      </c>
      <c r="C9" s="11" t="s">
        <v>104</v>
      </c>
      <c r="D9" s="11" t="s">
        <v>105</v>
      </c>
      <c r="E9" s="20" t="s">
        <v>36</v>
      </c>
      <c r="F9" s="20" t="s">
        <v>91</v>
      </c>
      <c r="G9" s="11" t="s">
        <v>106</v>
      </c>
      <c r="H9" s="11" t="s">
        <v>82</v>
      </c>
      <c r="I9" s="11" t="s">
        <v>107</v>
      </c>
      <c r="J9" s="11" t="s">
        <v>108</v>
      </c>
      <c r="K9" s="11" t="s">
        <v>109</v>
      </c>
      <c r="L9" s="11" t="s">
        <v>86</v>
      </c>
      <c r="M9" s="20" t="s">
        <v>87</v>
      </c>
      <c r="N9" s="20" t="s">
        <v>86</v>
      </c>
      <c r="O9" s="20" t="s">
        <v>86</v>
      </c>
      <c r="P9" s="21"/>
      <c r="Q9" s="12" t="s">
        <v>86</v>
      </c>
    </row>
    <row r="10" ht="68" customHeight="1" spans="1:17">
      <c r="A10" s="19" t="s">
        <v>110</v>
      </c>
      <c r="B10" s="11" t="s">
        <v>33</v>
      </c>
      <c r="C10" s="11" t="s">
        <v>111</v>
      </c>
      <c r="D10" s="11" t="s">
        <v>112</v>
      </c>
      <c r="E10" s="20" t="s">
        <v>38</v>
      </c>
      <c r="F10" s="20" t="s">
        <v>80</v>
      </c>
      <c r="G10" s="11" t="s">
        <v>113</v>
      </c>
      <c r="H10" s="11" t="s">
        <v>82</v>
      </c>
      <c r="I10" s="11" t="s">
        <v>114</v>
      </c>
      <c r="J10" s="11" t="s">
        <v>115</v>
      </c>
      <c r="K10" s="11" t="s">
        <v>116</v>
      </c>
      <c r="L10" s="11" t="s">
        <v>86</v>
      </c>
      <c r="M10" s="20" t="s">
        <v>87</v>
      </c>
      <c r="N10" s="20" t="s">
        <v>86</v>
      </c>
      <c r="O10" s="20" t="s">
        <v>86</v>
      </c>
      <c r="P10" s="21"/>
      <c r="Q10" s="12" t="s">
        <v>86</v>
      </c>
    </row>
    <row r="11" ht="68" customHeight="1" spans="1:17">
      <c r="A11" s="19" t="s">
        <v>117</v>
      </c>
      <c r="B11" s="11" t="s">
        <v>33</v>
      </c>
      <c r="C11" s="11" t="s">
        <v>118</v>
      </c>
      <c r="D11" s="11" t="s">
        <v>119</v>
      </c>
      <c r="E11" s="20" t="s">
        <v>38</v>
      </c>
      <c r="F11" s="20" t="s">
        <v>120</v>
      </c>
      <c r="G11" s="11" t="s">
        <v>121</v>
      </c>
      <c r="H11" s="11" t="s">
        <v>82</v>
      </c>
      <c r="I11" s="11" t="s">
        <v>122</v>
      </c>
      <c r="J11" s="11" t="s">
        <v>123</v>
      </c>
      <c r="K11" s="11" t="s">
        <v>124</v>
      </c>
      <c r="L11" s="11" t="s">
        <v>86</v>
      </c>
      <c r="M11" s="20" t="s">
        <v>87</v>
      </c>
      <c r="N11" s="20" t="s">
        <v>86</v>
      </c>
      <c r="O11" s="20" t="s">
        <v>86</v>
      </c>
      <c r="P11" s="21"/>
      <c r="Q11" s="12" t="s">
        <v>86</v>
      </c>
    </row>
    <row r="12" ht="68" customHeight="1" spans="1:17">
      <c r="A12" s="19" t="s">
        <v>125</v>
      </c>
      <c r="B12" s="11" t="s">
        <v>33</v>
      </c>
      <c r="C12" s="11" t="s">
        <v>126</v>
      </c>
      <c r="D12" s="11" t="s">
        <v>127</v>
      </c>
      <c r="E12" s="20" t="s">
        <v>38</v>
      </c>
      <c r="F12" s="20" t="s">
        <v>128</v>
      </c>
      <c r="G12" s="11" t="s">
        <v>129</v>
      </c>
      <c r="H12" s="11" t="s">
        <v>82</v>
      </c>
      <c r="I12" s="11" t="s">
        <v>130</v>
      </c>
      <c r="J12" s="11" t="s">
        <v>131</v>
      </c>
      <c r="K12" s="11" t="s">
        <v>132</v>
      </c>
      <c r="L12" s="11" t="s">
        <v>86</v>
      </c>
      <c r="M12" s="20" t="s">
        <v>87</v>
      </c>
      <c r="N12" s="20" t="s">
        <v>86</v>
      </c>
      <c r="O12" s="20" t="s">
        <v>86</v>
      </c>
      <c r="P12" s="21"/>
      <c r="Q12" s="12" t="s">
        <v>86</v>
      </c>
    </row>
    <row r="13" ht="68" customHeight="1" spans="1:17">
      <c r="A13" s="19" t="s">
        <v>133</v>
      </c>
      <c r="B13" s="11" t="s">
        <v>33</v>
      </c>
      <c r="C13" s="11" t="s">
        <v>134</v>
      </c>
      <c r="D13" s="11" t="s">
        <v>135</v>
      </c>
      <c r="E13" s="20" t="s">
        <v>36</v>
      </c>
      <c r="F13" s="20" t="s">
        <v>136</v>
      </c>
      <c r="G13" s="11" t="s">
        <v>137</v>
      </c>
      <c r="H13" s="11" t="s">
        <v>82</v>
      </c>
      <c r="I13" s="11" t="s">
        <v>138</v>
      </c>
      <c r="J13" s="11" t="s">
        <v>139</v>
      </c>
      <c r="K13" s="11" t="s">
        <v>140</v>
      </c>
      <c r="L13" s="11" t="s">
        <v>86</v>
      </c>
      <c r="M13" s="20" t="s">
        <v>87</v>
      </c>
      <c r="N13" s="20" t="s">
        <v>86</v>
      </c>
      <c r="O13" s="20" t="s">
        <v>86</v>
      </c>
      <c r="P13" s="21"/>
      <c r="Q13" s="12" t="s">
        <v>86</v>
      </c>
    </row>
    <row r="14" ht="68" customHeight="1" spans="1:17">
      <c r="A14" s="19" t="s">
        <v>141</v>
      </c>
      <c r="B14" s="11" t="s">
        <v>35</v>
      </c>
      <c r="C14" s="11" t="s">
        <v>142</v>
      </c>
      <c r="D14" s="11" t="s">
        <v>143</v>
      </c>
      <c r="E14" s="20" t="s">
        <v>34</v>
      </c>
      <c r="F14" s="20" t="s">
        <v>144</v>
      </c>
      <c r="G14" s="11" t="s">
        <v>145</v>
      </c>
      <c r="H14" s="11" t="s">
        <v>82</v>
      </c>
      <c r="I14" s="11" t="s">
        <v>146</v>
      </c>
      <c r="J14" s="11" t="s">
        <v>147</v>
      </c>
      <c r="K14" s="11" t="s">
        <v>148</v>
      </c>
      <c r="L14" s="11" t="s">
        <v>86</v>
      </c>
      <c r="M14" s="20" t="s">
        <v>87</v>
      </c>
      <c r="N14" s="20" t="s">
        <v>86</v>
      </c>
      <c r="O14" s="20" t="s">
        <v>86</v>
      </c>
      <c r="P14" s="21"/>
      <c r="Q14" s="12" t="s">
        <v>86</v>
      </c>
    </row>
    <row r="15" ht="68" customHeight="1" spans="1:17">
      <c r="A15" s="19" t="s">
        <v>149</v>
      </c>
      <c r="B15" s="11" t="s">
        <v>35</v>
      </c>
      <c r="C15" s="11" t="s">
        <v>150</v>
      </c>
      <c r="D15" s="11" t="s">
        <v>151</v>
      </c>
      <c r="E15" s="20" t="s">
        <v>34</v>
      </c>
      <c r="F15" s="20" t="s">
        <v>152</v>
      </c>
      <c r="G15" s="11" t="s">
        <v>153</v>
      </c>
      <c r="H15" s="11" t="s">
        <v>82</v>
      </c>
      <c r="I15" s="11" t="s">
        <v>154</v>
      </c>
      <c r="J15" s="11" t="s">
        <v>155</v>
      </c>
      <c r="K15" s="11" t="s">
        <v>156</v>
      </c>
      <c r="L15" s="11" t="s">
        <v>86</v>
      </c>
      <c r="M15" s="20" t="s">
        <v>87</v>
      </c>
      <c r="N15" s="20" t="s">
        <v>86</v>
      </c>
      <c r="O15" s="20" t="s">
        <v>86</v>
      </c>
      <c r="P15" s="21"/>
      <c r="Q15" s="12" t="s">
        <v>86</v>
      </c>
    </row>
    <row r="16" ht="68" customHeight="1" spans="1:17">
      <c r="A16" s="19" t="s">
        <v>157</v>
      </c>
      <c r="B16" s="11" t="s">
        <v>35</v>
      </c>
      <c r="C16" s="11" t="s">
        <v>158</v>
      </c>
      <c r="D16" s="11" t="s">
        <v>159</v>
      </c>
      <c r="E16" s="20" t="s">
        <v>36</v>
      </c>
      <c r="F16" s="20" t="s">
        <v>160</v>
      </c>
      <c r="G16" s="11" t="s">
        <v>161</v>
      </c>
      <c r="H16" s="11" t="s">
        <v>82</v>
      </c>
      <c r="I16" s="11" t="s">
        <v>162</v>
      </c>
      <c r="J16" s="11" t="s">
        <v>163</v>
      </c>
      <c r="K16" s="11" t="s">
        <v>164</v>
      </c>
      <c r="L16" s="11" t="s">
        <v>86</v>
      </c>
      <c r="M16" s="20" t="s">
        <v>87</v>
      </c>
      <c r="N16" s="20" t="s">
        <v>86</v>
      </c>
      <c r="O16" s="20" t="s">
        <v>86</v>
      </c>
      <c r="P16" s="21"/>
      <c r="Q16" s="12" t="s">
        <v>86</v>
      </c>
    </row>
    <row r="17" ht="68" customHeight="1" spans="1:17">
      <c r="A17" s="19" t="s">
        <v>165</v>
      </c>
      <c r="B17" s="11" t="s">
        <v>37</v>
      </c>
      <c r="C17" s="11" t="s">
        <v>166</v>
      </c>
      <c r="D17" s="11" t="s">
        <v>167</v>
      </c>
      <c r="E17" s="20" t="s">
        <v>34</v>
      </c>
      <c r="F17" s="20" t="s">
        <v>136</v>
      </c>
      <c r="G17" s="11" t="s">
        <v>168</v>
      </c>
      <c r="H17" s="11" t="s">
        <v>82</v>
      </c>
      <c r="I17" s="11" t="s">
        <v>169</v>
      </c>
      <c r="J17" s="11" t="s">
        <v>170</v>
      </c>
      <c r="K17" s="11" t="s">
        <v>171</v>
      </c>
      <c r="L17" s="11" t="s">
        <v>86</v>
      </c>
      <c r="M17" s="20" t="s">
        <v>87</v>
      </c>
      <c r="N17" s="20" t="s">
        <v>86</v>
      </c>
      <c r="O17" s="20" t="s">
        <v>86</v>
      </c>
      <c r="P17" s="21"/>
      <c r="Q17" s="12" t="s">
        <v>86</v>
      </c>
    </row>
    <row r="18" ht="68" customHeight="1" spans="1:17">
      <c r="A18" s="19" t="s">
        <v>172</v>
      </c>
      <c r="B18" s="11" t="s">
        <v>37</v>
      </c>
      <c r="C18" s="11" t="s">
        <v>173</v>
      </c>
      <c r="D18" s="11" t="s">
        <v>174</v>
      </c>
      <c r="E18" s="20" t="s">
        <v>36</v>
      </c>
      <c r="F18" s="20" t="s">
        <v>136</v>
      </c>
      <c r="G18" s="11" t="s">
        <v>175</v>
      </c>
      <c r="H18" s="11" t="s">
        <v>82</v>
      </c>
      <c r="I18" s="11" t="s">
        <v>176</v>
      </c>
      <c r="J18" s="11" t="s">
        <v>177</v>
      </c>
      <c r="K18" s="11" t="s">
        <v>178</v>
      </c>
      <c r="L18" s="11" t="s">
        <v>86</v>
      </c>
      <c r="M18" s="20" t="s">
        <v>87</v>
      </c>
      <c r="N18" s="20" t="s">
        <v>86</v>
      </c>
      <c r="O18" s="20" t="s">
        <v>86</v>
      </c>
      <c r="P18" s="21"/>
      <c r="Q18" s="12" t="s">
        <v>86</v>
      </c>
    </row>
    <row r="19" ht="68" customHeight="1" spans="1:17">
      <c r="A19" s="19" t="s">
        <v>179</v>
      </c>
      <c r="B19" s="11" t="s">
        <v>37</v>
      </c>
      <c r="C19" s="11" t="s">
        <v>180</v>
      </c>
      <c r="D19" s="11" t="s">
        <v>181</v>
      </c>
      <c r="E19" s="20" t="s">
        <v>34</v>
      </c>
      <c r="F19" s="20" t="s">
        <v>80</v>
      </c>
      <c r="G19" s="11" t="s">
        <v>182</v>
      </c>
      <c r="H19" s="11" t="s">
        <v>82</v>
      </c>
      <c r="I19" s="11" t="s">
        <v>183</v>
      </c>
      <c r="J19" s="11" t="s">
        <v>184</v>
      </c>
      <c r="K19" s="11" t="s">
        <v>185</v>
      </c>
      <c r="L19" s="11" t="s">
        <v>86</v>
      </c>
      <c r="M19" s="20" t="s">
        <v>87</v>
      </c>
      <c r="N19" s="20" t="s">
        <v>86</v>
      </c>
      <c r="O19" s="20" t="s">
        <v>86</v>
      </c>
      <c r="P19" s="21"/>
      <c r="Q19" s="12" t="s">
        <v>86</v>
      </c>
    </row>
    <row r="20" ht="68" customHeight="1" spans="1:17">
      <c r="A20" s="19" t="s">
        <v>186</v>
      </c>
      <c r="B20" s="11" t="s">
        <v>37</v>
      </c>
      <c r="C20" s="11" t="s">
        <v>187</v>
      </c>
      <c r="D20" s="11" t="s">
        <v>188</v>
      </c>
      <c r="E20" s="20" t="s">
        <v>34</v>
      </c>
      <c r="F20" s="20" t="s">
        <v>91</v>
      </c>
      <c r="G20" s="11" t="s">
        <v>189</v>
      </c>
      <c r="H20" s="11" t="s">
        <v>82</v>
      </c>
      <c r="I20" s="11" t="s">
        <v>190</v>
      </c>
      <c r="J20" s="11" t="s">
        <v>191</v>
      </c>
      <c r="K20" s="11" t="s">
        <v>192</v>
      </c>
      <c r="L20" s="11" t="s">
        <v>86</v>
      </c>
      <c r="M20" s="20" t="s">
        <v>87</v>
      </c>
      <c r="N20" s="20" t="s">
        <v>86</v>
      </c>
      <c r="O20" s="20" t="s">
        <v>86</v>
      </c>
      <c r="P20" s="21"/>
      <c r="Q20" s="12" t="s">
        <v>86</v>
      </c>
    </row>
    <row r="21" ht="68" customHeight="1" spans="1:17">
      <c r="A21" s="19" t="s">
        <v>193</v>
      </c>
      <c r="B21" s="11" t="s">
        <v>37</v>
      </c>
      <c r="C21" s="11" t="s">
        <v>194</v>
      </c>
      <c r="D21" s="11" t="s">
        <v>195</v>
      </c>
      <c r="E21" s="20" t="s">
        <v>34</v>
      </c>
      <c r="F21" s="20" t="s">
        <v>80</v>
      </c>
      <c r="G21" s="11" t="s">
        <v>196</v>
      </c>
      <c r="H21" s="11" t="s">
        <v>82</v>
      </c>
      <c r="I21" s="11" t="s">
        <v>197</v>
      </c>
      <c r="J21" s="11" t="s">
        <v>198</v>
      </c>
      <c r="K21" s="11" t="s">
        <v>199</v>
      </c>
      <c r="L21" s="11" t="s">
        <v>86</v>
      </c>
      <c r="M21" s="20" t="s">
        <v>87</v>
      </c>
      <c r="N21" s="20" t="s">
        <v>86</v>
      </c>
      <c r="O21" s="20" t="s">
        <v>86</v>
      </c>
      <c r="P21" s="21"/>
      <c r="Q21" s="12" t="s">
        <v>86</v>
      </c>
    </row>
    <row r="22" ht="68" customHeight="1" spans="1:17">
      <c r="A22" s="19" t="s">
        <v>200</v>
      </c>
      <c r="B22" s="11" t="s">
        <v>37</v>
      </c>
      <c r="C22" s="11" t="s">
        <v>201</v>
      </c>
      <c r="D22" s="11" t="s">
        <v>202</v>
      </c>
      <c r="E22" s="20" t="s">
        <v>34</v>
      </c>
      <c r="F22" s="20" t="s">
        <v>91</v>
      </c>
      <c r="G22" s="11" t="s">
        <v>203</v>
      </c>
      <c r="H22" s="11" t="s">
        <v>82</v>
      </c>
      <c r="I22" s="11" t="s">
        <v>204</v>
      </c>
      <c r="J22" s="11" t="s">
        <v>205</v>
      </c>
      <c r="K22" s="11" t="s">
        <v>206</v>
      </c>
      <c r="L22" s="11" t="s">
        <v>86</v>
      </c>
      <c r="M22" s="20" t="s">
        <v>87</v>
      </c>
      <c r="N22" s="20" t="s">
        <v>86</v>
      </c>
      <c r="O22" s="20" t="s">
        <v>86</v>
      </c>
      <c r="P22" s="21"/>
      <c r="Q22" s="12" t="s">
        <v>86</v>
      </c>
    </row>
    <row r="23" ht="68" customHeight="1" spans="1:17">
      <c r="A23" s="19" t="s">
        <v>207</v>
      </c>
      <c r="B23" s="11" t="s">
        <v>37</v>
      </c>
      <c r="C23" s="11" t="s">
        <v>208</v>
      </c>
      <c r="D23" s="11" t="s">
        <v>209</v>
      </c>
      <c r="E23" s="20" t="s">
        <v>38</v>
      </c>
      <c r="F23" s="20" t="s">
        <v>128</v>
      </c>
      <c r="G23" s="11" t="s">
        <v>210</v>
      </c>
      <c r="H23" s="11" t="s">
        <v>82</v>
      </c>
      <c r="I23" s="11" t="s">
        <v>211</v>
      </c>
      <c r="J23" s="11" t="s">
        <v>212</v>
      </c>
      <c r="K23" s="11" t="s">
        <v>213</v>
      </c>
      <c r="L23" s="11" t="s">
        <v>86</v>
      </c>
      <c r="M23" s="20" t="s">
        <v>87</v>
      </c>
      <c r="N23" s="20" t="s">
        <v>86</v>
      </c>
      <c r="O23" s="20" t="s">
        <v>86</v>
      </c>
      <c r="P23" s="21"/>
      <c r="Q23" s="12" t="s">
        <v>86</v>
      </c>
    </row>
    <row r="24" ht="68" customHeight="1" spans="1:17">
      <c r="A24" s="19" t="s">
        <v>214</v>
      </c>
      <c r="B24" s="11" t="s">
        <v>39</v>
      </c>
      <c r="C24" s="11" t="s">
        <v>215</v>
      </c>
      <c r="D24" s="11" t="s">
        <v>216</v>
      </c>
      <c r="E24" s="20" t="s">
        <v>34</v>
      </c>
      <c r="F24" s="20" t="s">
        <v>80</v>
      </c>
      <c r="G24" s="11" t="s">
        <v>217</v>
      </c>
      <c r="H24" s="11" t="s">
        <v>82</v>
      </c>
      <c r="I24" s="11" t="s">
        <v>218</v>
      </c>
      <c r="J24" s="11" t="s">
        <v>219</v>
      </c>
      <c r="K24" s="11" t="s">
        <v>220</v>
      </c>
      <c r="L24" s="11" t="s">
        <v>86</v>
      </c>
      <c r="M24" s="20" t="s">
        <v>87</v>
      </c>
      <c r="N24" s="20" t="s">
        <v>86</v>
      </c>
      <c r="O24" s="20" t="s">
        <v>86</v>
      </c>
      <c r="P24" s="21"/>
      <c r="Q24" s="12" t="s">
        <v>86</v>
      </c>
    </row>
    <row r="25" ht="68" customHeight="1" spans="1:17">
      <c r="A25" s="19" t="s">
        <v>221</v>
      </c>
      <c r="B25" s="11" t="s">
        <v>39</v>
      </c>
      <c r="C25" s="11" t="s">
        <v>222</v>
      </c>
      <c r="D25" s="11" t="s">
        <v>223</v>
      </c>
      <c r="E25" s="20" t="s">
        <v>34</v>
      </c>
      <c r="F25" s="20" t="s">
        <v>91</v>
      </c>
      <c r="G25" s="11" t="s">
        <v>224</v>
      </c>
      <c r="H25" s="11" t="s">
        <v>82</v>
      </c>
      <c r="I25" s="11" t="s">
        <v>225</v>
      </c>
      <c r="J25" s="11" t="s">
        <v>226</v>
      </c>
      <c r="K25" s="11" t="s">
        <v>227</v>
      </c>
      <c r="L25" s="11" t="s">
        <v>86</v>
      </c>
      <c r="M25" s="20" t="s">
        <v>87</v>
      </c>
      <c r="N25" s="20" t="s">
        <v>86</v>
      </c>
      <c r="O25" s="20" t="s">
        <v>86</v>
      </c>
      <c r="P25" s="21"/>
      <c r="Q25" s="12" t="s">
        <v>86</v>
      </c>
    </row>
    <row r="26" ht="68" customHeight="1" spans="1:17">
      <c r="A26" s="19" t="s">
        <v>228</v>
      </c>
      <c r="B26" s="11" t="s">
        <v>39</v>
      </c>
      <c r="C26" s="11" t="s">
        <v>229</v>
      </c>
      <c r="D26" s="11" t="s">
        <v>230</v>
      </c>
      <c r="E26" s="20" t="s">
        <v>34</v>
      </c>
      <c r="F26" s="20" t="s">
        <v>91</v>
      </c>
      <c r="G26" s="11" t="s">
        <v>231</v>
      </c>
      <c r="H26" s="11" t="s">
        <v>82</v>
      </c>
      <c r="I26" s="11" t="s">
        <v>232</v>
      </c>
      <c r="J26" s="11" t="s">
        <v>233</v>
      </c>
      <c r="K26" s="11" t="s">
        <v>234</v>
      </c>
      <c r="L26" s="11" t="s">
        <v>86</v>
      </c>
      <c r="M26" s="20" t="s">
        <v>87</v>
      </c>
      <c r="N26" s="20" t="s">
        <v>86</v>
      </c>
      <c r="O26" s="20" t="s">
        <v>86</v>
      </c>
      <c r="P26" s="21"/>
      <c r="Q26" s="12" t="s">
        <v>86</v>
      </c>
    </row>
    <row r="27" ht="68" customHeight="1" spans="1:17">
      <c r="A27" s="19" t="s">
        <v>235</v>
      </c>
      <c r="B27" s="11" t="s">
        <v>39</v>
      </c>
      <c r="C27" s="11" t="s">
        <v>236</v>
      </c>
      <c r="D27" s="11" t="s">
        <v>237</v>
      </c>
      <c r="E27" s="20" t="s">
        <v>34</v>
      </c>
      <c r="F27" s="20" t="s">
        <v>91</v>
      </c>
      <c r="G27" s="11" t="s">
        <v>238</v>
      </c>
      <c r="H27" s="11" t="s">
        <v>82</v>
      </c>
      <c r="I27" s="11" t="s">
        <v>239</v>
      </c>
      <c r="J27" s="11" t="s">
        <v>240</v>
      </c>
      <c r="K27" s="11" t="s">
        <v>241</v>
      </c>
      <c r="L27" s="11" t="s">
        <v>86</v>
      </c>
      <c r="M27" s="20" t="s">
        <v>87</v>
      </c>
      <c r="N27" s="20" t="s">
        <v>86</v>
      </c>
      <c r="O27" s="20" t="s">
        <v>86</v>
      </c>
      <c r="P27" s="21"/>
      <c r="Q27" s="12" t="s">
        <v>86</v>
      </c>
    </row>
    <row r="28" ht="68" customHeight="1" spans="1:17">
      <c r="A28" s="19" t="s">
        <v>242</v>
      </c>
      <c r="B28" s="11" t="s">
        <v>39</v>
      </c>
      <c r="C28" s="11" t="s">
        <v>243</v>
      </c>
      <c r="D28" s="11" t="s">
        <v>244</v>
      </c>
      <c r="E28" s="20" t="s">
        <v>34</v>
      </c>
      <c r="F28" s="20" t="s">
        <v>91</v>
      </c>
      <c r="G28" s="11" t="s">
        <v>245</v>
      </c>
      <c r="H28" s="11" t="s">
        <v>82</v>
      </c>
      <c r="I28" s="11" t="s">
        <v>246</v>
      </c>
      <c r="J28" s="11" t="s">
        <v>247</v>
      </c>
      <c r="K28" s="11" t="s">
        <v>248</v>
      </c>
      <c r="L28" s="11" t="s">
        <v>86</v>
      </c>
      <c r="M28" s="20" t="s">
        <v>87</v>
      </c>
      <c r="N28" s="20" t="s">
        <v>86</v>
      </c>
      <c r="O28" s="20" t="s">
        <v>86</v>
      </c>
      <c r="P28" s="21"/>
      <c r="Q28" s="12" t="s">
        <v>86</v>
      </c>
    </row>
    <row r="29" ht="68" customHeight="1" spans="1:17">
      <c r="A29" s="19" t="s">
        <v>249</v>
      </c>
      <c r="B29" s="11" t="s">
        <v>39</v>
      </c>
      <c r="C29" s="11" t="s">
        <v>250</v>
      </c>
      <c r="D29" s="11" t="s">
        <v>251</v>
      </c>
      <c r="E29" s="20" t="s">
        <v>34</v>
      </c>
      <c r="F29" s="20" t="s">
        <v>152</v>
      </c>
      <c r="G29" s="11" t="s">
        <v>252</v>
      </c>
      <c r="H29" s="11" t="s">
        <v>82</v>
      </c>
      <c r="I29" s="11" t="s">
        <v>253</v>
      </c>
      <c r="J29" s="11" t="s">
        <v>254</v>
      </c>
      <c r="K29" s="11" t="s">
        <v>255</v>
      </c>
      <c r="L29" s="11" t="s">
        <v>86</v>
      </c>
      <c r="M29" s="20" t="s">
        <v>87</v>
      </c>
      <c r="N29" s="20" t="s">
        <v>86</v>
      </c>
      <c r="O29" s="20" t="s">
        <v>86</v>
      </c>
      <c r="P29" s="21"/>
      <c r="Q29" s="12" t="s">
        <v>86</v>
      </c>
    </row>
    <row r="30" ht="68" customHeight="1" spans="1:17">
      <c r="A30" s="19" t="s">
        <v>256</v>
      </c>
      <c r="B30" s="11" t="s">
        <v>39</v>
      </c>
      <c r="C30" s="11" t="s">
        <v>257</v>
      </c>
      <c r="D30" s="11" t="s">
        <v>258</v>
      </c>
      <c r="E30" s="20" t="s">
        <v>34</v>
      </c>
      <c r="F30" s="20" t="s">
        <v>152</v>
      </c>
      <c r="G30" s="11" t="s">
        <v>259</v>
      </c>
      <c r="H30" s="11" t="s">
        <v>82</v>
      </c>
      <c r="I30" s="11" t="s">
        <v>260</v>
      </c>
      <c r="J30" s="11" t="s">
        <v>261</v>
      </c>
      <c r="K30" s="11" t="s">
        <v>262</v>
      </c>
      <c r="L30" s="11" t="s">
        <v>86</v>
      </c>
      <c r="M30" s="20" t="s">
        <v>87</v>
      </c>
      <c r="N30" s="20" t="s">
        <v>86</v>
      </c>
      <c r="O30" s="20" t="s">
        <v>86</v>
      </c>
      <c r="P30" s="21"/>
      <c r="Q30" s="12" t="s">
        <v>86</v>
      </c>
    </row>
    <row r="31" ht="68" customHeight="1" spans="1:17">
      <c r="A31" s="19" t="s">
        <v>263</v>
      </c>
      <c r="B31" s="11" t="s">
        <v>39</v>
      </c>
      <c r="C31" s="11" t="s">
        <v>264</v>
      </c>
      <c r="D31" s="11" t="s">
        <v>265</v>
      </c>
      <c r="E31" s="20" t="s">
        <v>36</v>
      </c>
      <c r="F31" s="20" t="s">
        <v>266</v>
      </c>
      <c r="G31" s="11" t="s">
        <v>267</v>
      </c>
      <c r="H31" s="11" t="s">
        <v>82</v>
      </c>
      <c r="I31" s="11" t="s">
        <v>268</v>
      </c>
      <c r="J31" s="11" t="s">
        <v>269</v>
      </c>
      <c r="K31" s="11" t="s">
        <v>270</v>
      </c>
      <c r="L31" s="11" t="s">
        <v>86</v>
      </c>
      <c r="M31" s="20" t="s">
        <v>87</v>
      </c>
      <c r="N31" s="20" t="s">
        <v>86</v>
      </c>
      <c r="O31" s="20" t="s">
        <v>86</v>
      </c>
      <c r="P31" s="21"/>
      <c r="Q31" s="12" t="s">
        <v>86</v>
      </c>
    </row>
    <row r="32" ht="68" customHeight="1" spans="1:17">
      <c r="A32" s="19" t="s">
        <v>271</v>
      </c>
      <c r="B32" s="11" t="s">
        <v>39</v>
      </c>
      <c r="C32" s="11" t="s">
        <v>272</v>
      </c>
      <c r="D32" s="11" t="s">
        <v>273</v>
      </c>
      <c r="E32" s="20" t="s">
        <v>36</v>
      </c>
      <c r="F32" s="20" t="s">
        <v>274</v>
      </c>
      <c r="G32" s="11" t="s">
        <v>275</v>
      </c>
      <c r="H32" s="11" t="s">
        <v>82</v>
      </c>
      <c r="I32" s="11" t="s">
        <v>276</v>
      </c>
      <c r="J32" s="11" t="s">
        <v>277</v>
      </c>
      <c r="K32" s="11" t="s">
        <v>278</v>
      </c>
      <c r="L32" s="11" t="s">
        <v>86</v>
      </c>
      <c r="M32" s="20" t="s">
        <v>87</v>
      </c>
      <c r="N32" s="20" t="s">
        <v>86</v>
      </c>
      <c r="O32" s="20" t="s">
        <v>86</v>
      </c>
      <c r="P32" s="21"/>
      <c r="Q32" s="12" t="s">
        <v>86</v>
      </c>
    </row>
    <row r="33" ht="68" customHeight="1" spans="1:17">
      <c r="A33" s="19" t="s">
        <v>279</v>
      </c>
      <c r="B33" s="11" t="s">
        <v>41</v>
      </c>
      <c r="C33" s="11" t="s">
        <v>280</v>
      </c>
      <c r="D33" s="11" t="s">
        <v>281</v>
      </c>
      <c r="E33" s="20" t="s">
        <v>34</v>
      </c>
      <c r="F33" s="20" t="s">
        <v>80</v>
      </c>
      <c r="G33" s="11" t="s">
        <v>282</v>
      </c>
      <c r="H33" s="11" t="s">
        <v>82</v>
      </c>
      <c r="I33" s="11" t="s">
        <v>283</v>
      </c>
      <c r="J33" s="11" t="s">
        <v>284</v>
      </c>
      <c r="K33" s="11" t="s">
        <v>285</v>
      </c>
      <c r="L33" s="11" t="s">
        <v>86</v>
      </c>
      <c r="M33" s="20" t="s">
        <v>87</v>
      </c>
      <c r="N33" s="20" t="s">
        <v>86</v>
      </c>
      <c r="O33" s="20" t="s">
        <v>86</v>
      </c>
      <c r="P33" s="21"/>
      <c r="Q33" s="12" t="s">
        <v>86</v>
      </c>
    </row>
    <row r="34" ht="68" customHeight="1" spans="1:17">
      <c r="A34" s="19" t="s">
        <v>286</v>
      </c>
      <c r="B34" s="11" t="s">
        <v>41</v>
      </c>
      <c r="C34" s="11" t="s">
        <v>287</v>
      </c>
      <c r="D34" s="11" t="s">
        <v>288</v>
      </c>
      <c r="E34" s="20" t="s">
        <v>36</v>
      </c>
      <c r="F34" s="20" t="s">
        <v>266</v>
      </c>
      <c r="G34" s="11" t="s">
        <v>289</v>
      </c>
      <c r="H34" s="11" t="s">
        <v>82</v>
      </c>
      <c r="I34" s="11" t="s">
        <v>290</v>
      </c>
      <c r="J34" s="11" t="s">
        <v>291</v>
      </c>
      <c r="K34" s="11" t="s">
        <v>292</v>
      </c>
      <c r="L34" s="11" t="s">
        <v>86</v>
      </c>
      <c r="M34" s="20" t="s">
        <v>87</v>
      </c>
      <c r="N34" s="20" t="s">
        <v>86</v>
      </c>
      <c r="O34" s="20" t="s">
        <v>86</v>
      </c>
      <c r="P34" s="21"/>
      <c r="Q34" s="12" t="s">
        <v>86</v>
      </c>
    </row>
    <row r="35" ht="68" customHeight="1" spans="1:17">
      <c r="A35" s="19" t="s">
        <v>293</v>
      </c>
      <c r="B35" s="11" t="s">
        <v>41</v>
      </c>
      <c r="C35" s="11" t="s">
        <v>294</v>
      </c>
      <c r="D35" s="11" t="s">
        <v>295</v>
      </c>
      <c r="E35" s="20" t="s">
        <v>34</v>
      </c>
      <c r="F35" s="20" t="s">
        <v>80</v>
      </c>
      <c r="G35" s="11" t="s">
        <v>289</v>
      </c>
      <c r="H35" s="11" t="s">
        <v>82</v>
      </c>
      <c r="I35" s="11" t="s">
        <v>296</v>
      </c>
      <c r="J35" s="11" t="s">
        <v>297</v>
      </c>
      <c r="K35" s="11" t="s">
        <v>298</v>
      </c>
      <c r="L35" s="11" t="s">
        <v>86</v>
      </c>
      <c r="M35" s="20" t="s">
        <v>87</v>
      </c>
      <c r="N35" s="20" t="s">
        <v>86</v>
      </c>
      <c r="O35" s="20" t="s">
        <v>86</v>
      </c>
      <c r="P35" s="21"/>
      <c r="Q35" s="12" t="s">
        <v>86</v>
      </c>
    </row>
    <row r="36" ht="68" customHeight="1" spans="1:17">
      <c r="A36" s="19" t="s">
        <v>299</v>
      </c>
      <c r="B36" s="11" t="s">
        <v>41</v>
      </c>
      <c r="C36" s="11" t="s">
        <v>300</v>
      </c>
      <c r="D36" s="11" t="s">
        <v>301</v>
      </c>
      <c r="E36" s="20" t="s">
        <v>36</v>
      </c>
      <c r="F36" s="20" t="s">
        <v>80</v>
      </c>
      <c r="G36" s="11" t="s">
        <v>302</v>
      </c>
      <c r="H36" s="11" t="s">
        <v>82</v>
      </c>
      <c r="I36" s="11" t="s">
        <v>303</v>
      </c>
      <c r="J36" s="11" t="s">
        <v>304</v>
      </c>
      <c r="K36" s="11" t="s">
        <v>305</v>
      </c>
      <c r="L36" s="11" t="s">
        <v>86</v>
      </c>
      <c r="M36" s="20" t="s">
        <v>87</v>
      </c>
      <c r="N36" s="20" t="s">
        <v>86</v>
      </c>
      <c r="O36" s="20" t="s">
        <v>86</v>
      </c>
      <c r="P36" s="21"/>
      <c r="Q36" s="12" t="s">
        <v>86</v>
      </c>
    </row>
    <row r="37" ht="68" customHeight="1" spans="1:17">
      <c r="A37" s="19" t="s">
        <v>306</v>
      </c>
      <c r="B37" s="11" t="s">
        <v>41</v>
      </c>
      <c r="C37" s="11" t="s">
        <v>307</v>
      </c>
      <c r="D37" s="11" t="s">
        <v>308</v>
      </c>
      <c r="E37" s="20" t="s">
        <v>34</v>
      </c>
      <c r="F37" s="20" t="s">
        <v>80</v>
      </c>
      <c r="G37" s="11" t="s">
        <v>309</v>
      </c>
      <c r="H37" s="11" t="s">
        <v>82</v>
      </c>
      <c r="I37" s="11" t="s">
        <v>310</v>
      </c>
      <c r="J37" s="11" t="s">
        <v>311</v>
      </c>
      <c r="K37" s="11" t="s">
        <v>312</v>
      </c>
      <c r="L37" s="11" t="s">
        <v>86</v>
      </c>
      <c r="M37" s="20" t="s">
        <v>87</v>
      </c>
      <c r="N37" s="20" t="s">
        <v>86</v>
      </c>
      <c r="O37" s="20" t="s">
        <v>86</v>
      </c>
      <c r="P37" s="21"/>
      <c r="Q37" s="12" t="s">
        <v>86</v>
      </c>
    </row>
    <row r="38" ht="68" customHeight="1" spans="1:17">
      <c r="A38" s="19" t="s">
        <v>313</v>
      </c>
      <c r="B38" s="11" t="s">
        <v>41</v>
      </c>
      <c r="C38" s="11" t="s">
        <v>314</v>
      </c>
      <c r="D38" s="11" t="s">
        <v>315</v>
      </c>
      <c r="E38" s="20" t="s">
        <v>36</v>
      </c>
      <c r="F38" s="20" t="s">
        <v>266</v>
      </c>
      <c r="G38" s="11" t="s">
        <v>316</v>
      </c>
      <c r="H38" s="11" t="s">
        <v>82</v>
      </c>
      <c r="I38" s="11" t="s">
        <v>317</v>
      </c>
      <c r="J38" s="11" t="s">
        <v>318</v>
      </c>
      <c r="K38" s="11" t="s">
        <v>319</v>
      </c>
      <c r="L38" s="11" t="s">
        <v>86</v>
      </c>
      <c r="M38" s="20" t="s">
        <v>87</v>
      </c>
      <c r="N38" s="20" t="s">
        <v>86</v>
      </c>
      <c r="O38" s="20" t="s">
        <v>86</v>
      </c>
      <c r="P38" s="21"/>
      <c r="Q38" s="12" t="s">
        <v>86</v>
      </c>
    </row>
    <row r="39" ht="68" customHeight="1" spans="1:17">
      <c r="A39" s="19" t="s">
        <v>320</v>
      </c>
      <c r="B39" s="11" t="s">
        <v>41</v>
      </c>
      <c r="C39" s="11" t="s">
        <v>321</v>
      </c>
      <c r="D39" s="11" t="s">
        <v>322</v>
      </c>
      <c r="E39" s="20" t="s">
        <v>34</v>
      </c>
      <c r="F39" s="20" t="s">
        <v>80</v>
      </c>
      <c r="G39" s="11" t="s">
        <v>323</v>
      </c>
      <c r="H39" s="11" t="s">
        <v>82</v>
      </c>
      <c r="I39" s="11" t="s">
        <v>324</v>
      </c>
      <c r="J39" s="11" t="s">
        <v>325</v>
      </c>
      <c r="K39" s="11" t="s">
        <v>326</v>
      </c>
      <c r="L39" s="11" t="s">
        <v>86</v>
      </c>
      <c r="M39" s="20" t="s">
        <v>87</v>
      </c>
      <c r="N39" s="20" t="s">
        <v>86</v>
      </c>
      <c r="O39" s="20" t="s">
        <v>86</v>
      </c>
      <c r="P39" s="21"/>
      <c r="Q39" s="12" t="s">
        <v>86</v>
      </c>
    </row>
    <row r="40" ht="68" customHeight="1" spans="1:17">
      <c r="A40" s="19" t="s">
        <v>327</v>
      </c>
      <c r="B40" s="11" t="s">
        <v>41</v>
      </c>
      <c r="C40" s="11" t="s">
        <v>328</v>
      </c>
      <c r="D40" s="11" t="s">
        <v>329</v>
      </c>
      <c r="E40" s="20" t="s">
        <v>36</v>
      </c>
      <c r="F40" s="20" t="s">
        <v>266</v>
      </c>
      <c r="G40" s="11" t="s">
        <v>330</v>
      </c>
      <c r="H40" s="11" t="s">
        <v>82</v>
      </c>
      <c r="I40" s="11" t="s">
        <v>331</v>
      </c>
      <c r="J40" s="11" t="s">
        <v>332</v>
      </c>
      <c r="K40" s="11" t="s">
        <v>333</v>
      </c>
      <c r="L40" s="11" t="s">
        <v>86</v>
      </c>
      <c r="M40" s="20" t="s">
        <v>87</v>
      </c>
      <c r="N40" s="20" t="s">
        <v>86</v>
      </c>
      <c r="O40" s="20" t="s">
        <v>86</v>
      </c>
      <c r="P40" s="21"/>
      <c r="Q40" s="12" t="s">
        <v>86</v>
      </c>
    </row>
    <row r="41" ht="68" customHeight="1" spans="1:17">
      <c r="A41" s="19" t="s">
        <v>334</v>
      </c>
      <c r="B41" s="11" t="s">
        <v>41</v>
      </c>
      <c r="C41" s="11" t="s">
        <v>335</v>
      </c>
      <c r="D41" s="11" t="s">
        <v>336</v>
      </c>
      <c r="E41" s="20" t="s">
        <v>34</v>
      </c>
      <c r="F41" s="20" t="s">
        <v>266</v>
      </c>
      <c r="G41" s="11" t="s">
        <v>330</v>
      </c>
      <c r="H41" s="11" t="s">
        <v>82</v>
      </c>
      <c r="I41" s="11" t="s">
        <v>337</v>
      </c>
      <c r="J41" s="11" t="s">
        <v>338</v>
      </c>
      <c r="K41" s="11" t="s">
        <v>339</v>
      </c>
      <c r="L41" s="11" t="s">
        <v>86</v>
      </c>
      <c r="M41" s="20" t="s">
        <v>87</v>
      </c>
      <c r="N41" s="20" t="s">
        <v>86</v>
      </c>
      <c r="O41" s="20" t="s">
        <v>86</v>
      </c>
      <c r="P41" s="21"/>
      <c r="Q41" s="12" t="s">
        <v>86</v>
      </c>
    </row>
    <row r="42" ht="68" customHeight="1" spans="1:17">
      <c r="A42" s="19" t="s">
        <v>340</v>
      </c>
      <c r="B42" s="11" t="s">
        <v>41</v>
      </c>
      <c r="C42" s="11" t="s">
        <v>341</v>
      </c>
      <c r="D42" s="11" t="s">
        <v>342</v>
      </c>
      <c r="E42" s="20" t="s">
        <v>36</v>
      </c>
      <c r="F42" s="20" t="s">
        <v>266</v>
      </c>
      <c r="G42" s="11" t="s">
        <v>343</v>
      </c>
      <c r="H42" s="11" t="s">
        <v>82</v>
      </c>
      <c r="I42" s="11" t="s">
        <v>344</v>
      </c>
      <c r="J42" s="11" t="s">
        <v>345</v>
      </c>
      <c r="K42" s="11" t="s">
        <v>346</v>
      </c>
      <c r="L42" s="11" t="s">
        <v>86</v>
      </c>
      <c r="M42" s="20" t="s">
        <v>87</v>
      </c>
      <c r="N42" s="20" t="s">
        <v>86</v>
      </c>
      <c r="O42" s="20" t="s">
        <v>86</v>
      </c>
      <c r="P42" s="21"/>
      <c r="Q42" s="12" t="s">
        <v>86</v>
      </c>
    </row>
    <row r="43" ht="68" customHeight="1" spans="1:17">
      <c r="A43" s="19" t="s">
        <v>347</v>
      </c>
      <c r="B43" s="11" t="s">
        <v>43</v>
      </c>
      <c r="C43" s="11" t="s">
        <v>348</v>
      </c>
      <c r="D43" s="11" t="s">
        <v>349</v>
      </c>
      <c r="E43" s="20" t="s">
        <v>34</v>
      </c>
      <c r="F43" s="20" t="s">
        <v>80</v>
      </c>
      <c r="G43" s="11" t="s">
        <v>350</v>
      </c>
      <c r="H43" s="11" t="s">
        <v>82</v>
      </c>
      <c r="I43" s="11" t="s">
        <v>351</v>
      </c>
      <c r="J43" s="11" t="s">
        <v>352</v>
      </c>
      <c r="K43" s="11" t="s">
        <v>353</v>
      </c>
      <c r="L43" s="11" t="s">
        <v>86</v>
      </c>
      <c r="M43" s="20" t="s">
        <v>87</v>
      </c>
      <c r="N43" s="20" t="s">
        <v>86</v>
      </c>
      <c r="O43" s="20" t="s">
        <v>86</v>
      </c>
      <c r="P43" s="21"/>
      <c r="Q43" s="12" t="s">
        <v>86</v>
      </c>
    </row>
    <row r="44" ht="68" customHeight="1" spans="1:17">
      <c r="A44" s="19" t="s">
        <v>354</v>
      </c>
      <c r="B44" s="11" t="s">
        <v>43</v>
      </c>
      <c r="C44" s="11" t="s">
        <v>355</v>
      </c>
      <c r="D44" s="11" t="s">
        <v>356</v>
      </c>
      <c r="E44" s="20" t="s">
        <v>34</v>
      </c>
      <c r="F44" s="20" t="s">
        <v>91</v>
      </c>
      <c r="G44" s="11" t="s">
        <v>357</v>
      </c>
      <c r="H44" s="11" t="s">
        <v>82</v>
      </c>
      <c r="I44" s="11" t="s">
        <v>358</v>
      </c>
      <c r="J44" s="11" t="s">
        <v>359</v>
      </c>
      <c r="K44" s="11" t="s">
        <v>360</v>
      </c>
      <c r="L44" s="11" t="s">
        <v>86</v>
      </c>
      <c r="M44" s="20" t="s">
        <v>87</v>
      </c>
      <c r="N44" s="20" t="s">
        <v>86</v>
      </c>
      <c r="O44" s="20" t="s">
        <v>86</v>
      </c>
      <c r="P44" s="21"/>
      <c r="Q44" s="12" t="s">
        <v>86</v>
      </c>
    </row>
    <row r="45" ht="68" customHeight="1" spans="1:17">
      <c r="A45" s="19" t="s">
        <v>361</v>
      </c>
      <c r="B45" s="11" t="s">
        <v>43</v>
      </c>
      <c r="C45" s="11" t="s">
        <v>362</v>
      </c>
      <c r="D45" s="11" t="s">
        <v>363</v>
      </c>
      <c r="E45" s="20" t="s">
        <v>34</v>
      </c>
      <c r="F45" s="20" t="s">
        <v>152</v>
      </c>
      <c r="G45" s="11" t="s">
        <v>364</v>
      </c>
      <c r="H45" s="11" t="s">
        <v>82</v>
      </c>
      <c r="I45" s="11" t="s">
        <v>365</v>
      </c>
      <c r="J45" s="11" t="s">
        <v>366</v>
      </c>
      <c r="K45" s="11" t="s">
        <v>367</v>
      </c>
      <c r="L45" s="11" t="s">
        <v>86</v>
      </c>
      <c r="M45" s="20" t="s">
        <v>87</v>
      </c>
      <c r="N45" s="20" t="s">
        <v>86</v>
      </c>
      <c r="O45" s="20" t="s">
        <v>86</v>
      </c>
      <c r="P45" s="21"/>
      <c r="Q45" s="12" t="s">
        <v>86</v>
      </c>
    </row>
    <row r="46" ht="68" customHeight="1" spans="1:17">
      <c r="A46" s="19" t="s">
        <v>368</v>
      </c>
      <c r="B46" s="11" t="s">
        <v>43</v>
      </c>
      <c r="C46" s="11" t="s">
        <v>369</v>
      </c>
      <c r="D46" s="11" t="s">
        <v>370</v>
      </c>
      <c r="E46" s="20" t="s">
        <v>34</v>
      </c>
      <c r="F46" s="20" t="s">
        <v>152</v>
      </c>
      <c r="G46" s="11" t="s">
        <v>371</v>
      </c>
      <c r="H46" s="11" t="s">
        <v>82</v>
      </c>
      <c r="I46" s="11" t="s">
        <v>372</v>
      </c>
      <c r="J46" s="11" t="s">
        <v>373</v>
      </c>
      <c r="K46" s="11" t="s">
        <v>374</v>
      </c>
      <c r="L46" s="11" t="s">
        <v>86</v>
      </c>
      <c r="M46" s="20" t="s">
        <v>87</v>
      </c>
      <c r="N46" s="20" t="s">
        <v>86</v>
      </c>
      <c r="O46" s="20" t="s">
        <v>86</v>
      </c>
      <c r="P46" s="21"/>
      <c r="Q46" s="12" t="s">
        <v>86</v>
      </c>
    </row>
    <row r="47" ht="68" customHeight="1" spans="1:17">
      <c r="A47" s="19" t="s">
        <v>375</v>
      </c>
      <c r="B47" s="11" t="s">
        <v>43</v>
      </c>
      <c r="C47" s="11" t="s">
        <v>376</v>
      </c>
      <c r="D47" s="11" t="s">
        <v>377</v>
      </c>
      <c r="E47" s="20" t="s">
        <v>34</v>
      </c>
      <c r="F47" s="20" t="s">
        <v>80</v>
      </c>
      <c r="G47" s="11" t="s">
        <v>378</v>
      </c>
      <c r="H47" s="11" t="s">
        <v>82</v>
      </c>
      <c r="I47" s="11" t="s">
        <v>379</v>
      </c>
      <c r="J47" s="11" t="s">
        <v>380</v>
      </c>
      <c r="K47" s="11" t="s">
        <v>381</v>
      </c>
      <c r="L47" s="11" t="s">
        <v>86</v>
      </c>
      <c r="M47" s="20" t="s">
        <v>87</v>
      </c>
      <c r="N47" s="20" t="s">
        <v>86</v>
      </c>
      <c r="O47" s="20" t="s">
        <v>86</v>
      </c>
      <c r="P47" s="21"/>
      <c r="Q47" s="12" t="s">
        <v>86</v>
      </c>
    </row>
    <row r="48" ht="68" customHeight="1" spans="1:17">
      <c r="A48" s="19" t="s">
        <v>382</v>
      </c>
      <c r="B48" s="11" t="s">
        <v>43</v>
      </c>
      <c r="C48" s="11" t="s">
        <v>383</v>
      </c>
      <c r="D48" s="11" t="s">
        <v>384</v>
      </c>
      <c r="E48" s="20" t="s">
        <v>36</v>
      </c>
      <c r="F48" s="20" t="s">
        <v>152</v>
      </c>
      <c r="G48" s="11" t="s">
        <v>385</v>
      </c>
      <c r="H48" s="11" t="s">
        <v>82</v>
      </c>
      <c r="I48" s="11" t="s">
        <v>386</v>
      </c>
      <c r="J48" s="11" t="s">
        <v>387</v>
      </c>
      <c r="K48" s="11" t="s">
        <v>388</v>
      </c>
      <c r="L48" s="11" t="s">
        <v>86</v>
      </c>
      <c r="M48" s="20" t="s">
        <v>87</v>
      </c>
      <c r="N48" s="20" t="s">
        <v>86</v>
      </c>
      <c r="O48" s="20" t="s">
        <v>86</v>
      </c>
      <c r="P48" s="21"/>
      <c r="Q48" s="12" t="s">
        <v>86</v>
      </c>
    </row>
    <row r="49" ht="68" customHeight="1" spans="1:17">
      <c r="A49" s="19" t="s">
        <v>389</v>
      </c>
      <c r="B49" s="11" t="s">
        <v>43</v>
      </c>
      <c r="C49" s="11" t="s">
        <v>390</v>
      </c>
      <c r="D49" s="11" t="s">
        <v>391</v>
      </c>
      <c r="E49" s="20" t="s">
        <v>38</v>
      </c>
      <c r="F49" s="20" t="s">
        <v>392</v>
      </c>
      <c r="G49" s="11" t="s">
        <v>393</v>
      </c>
      <c r="H49" s="11" t="s">
        <v>82</v>
      </c>
      <c r="I49" s="11" t="s">
        <v>394</v>
      </c>
      <c r="J49" s="11" t="s">
        <v>395</v>
      </c>
      <c r="K49" s="11" t="s">
        <v>396</v>
      </c>
      <c r="L49" s="11" t="s">
        <v>86</v>
      </c>
      <c r="M49" s="20" t="s">
        <v>87</v>
      </c>
      <c r="N49" s="20" t="s">
        <v>86</v>
      </c>
      <c r="O49" s="20" t="s">
        <v>86</v>
      </c>
      <c r="P49" s="21"/>
      <c r="Q49" s="12" t="s">
        <v>86</v>
      </c>
    </row>
    <row r="50" ht="68" customHeight="1" spans="1:17">
      <c r="A50" s="19" t="s">
        <v>397</v>
      </c>
      <c r="B50" s="11" t="s">
        <v>43</v>
      </c>
      <c r="C50" s="11" t="s">
        <v>398</v>
      </c>
      <c r="D50" s="11" t="s">
        <v>399</v>
      </c>
      <c r="E50" s="20" t="s">
        <v>34</v>
      </c>
      <c r="F50" s="20" t="s">
        <v>80</v>
      </c>
      <c r="G50" s="11" t="s">
        <v>400</v>
      </c>
      <c r="H50" s="11" t="s">
        <v>82</v>
      </c>
      <c r="I50" s="11" t="s">
        <v>401</v>
      </c>
      <c r="J50" s="11" t="s">
        <v>402</v>
      </c>
      <c r="K50" s="11" t="s">
        <v>403</v>
      </c>
      <c r="L50" s="11" t="s">
        <v>86</v>
      </c>
      <c r="M50" s="20" t="s">
        <v>87</v>
      </c>
      <c r="N50" s="20" t="s">
        <v>86</v>
      </c>
      <c r="O50" s="20" t="s">
        <v>86</v>
      </c>
      <c r="P50" s="21"/>
      <c r="Q50" s="12" t="s">
        <v>86</v>
      </c>
    </row>
    <row r="51" ht="68" customHeight="1" spans="1:17">
      <c r="A51" s="19" t="s">
        <v>404</v>
      </c>
      <c r="B51" s="11" t="s">
        <v>43</v>
      </c>
      <c r="C51" s="11" t="s">
        <v>405</v>
      </c>
      <c r="D51" s="11" t="s">
        <v>406</v>
      </c>
      <c r="E51" s="20" t="s">
        <v>34</v>
      </c>
      <c r="F51" s="20" t="s">
        <v>80</v>
      </c>
      <c r="G51" s="11" t="s">
        <v>407</v>
      </c>
      <c r="H51" s="11" t="s">
        <v>82</v>
      </c>
      <c r="I51" s="11" t="s">
        <v>408</v>
      </c>
      <c r="J51" s="11" t="s">
        <v>409</v>
      </c>
      <c r="K51" s="11" t="s">
        <v>410</v>
      </c>
      <c r="L51" s="11" t="s">
        <v>86</v>
      </c>
      <c r="M51" s="20" t="s">
        <v>87</v>
      </c>
      <c r="N51" s="20" t="s">
        <v>86</v>
      </c>
      <c r="O51" s="20" t="s">
        <v>86</v>
      </c>
      <c r="P51" s="21"/>
      <c r="Q51" s="12" t="s">
        <v>86</v>
      </c>
    </row>
    <row r="52" ht="68" customHeight="1" spans="1:17">
      <c r="A52" s="19" t="s">
        <v>411</v>
      </c>
      <c r="B52" s="11" t="s">
        <v>43</v>
      </c>
      <c r="C52" s="11" t="s">
        <v>412</v>
      </c>
      <c r="D52" s="11" t="s">
        <v>413</v>
      </c>
      <c r="E52" s="20" t="s">
        <v>34</v>
      </c>
      <c r="F52" s="20" t="s">
        <v>80</v>
      </c>
      <c r="G52" s="11" t="s">
        <v>414</v>
      </c>
      <c r="H52" s="11" t="s">
        <v>82</v>
      </c>
      <c r="I52" s="11" t="s">
        <v>415</v>
      </c>
      <c r="J52" s="11" t="s">
        <v>416</v>
      </c>
      <c r="K52" s="11" t="s">
        <v>417</v>
      </c>
      <c r="L52" s="11" t="s">
        <v>86</v>
      </c>
      <c r="M52" s="20" t="s">
        <v>87</v>
      </c>
      <c r="N52" s="20" t="s">
        <v>86</v>
      </c>
      <c r="O52" s="20" t="s">
        <v>86</v>
      </c>
      <c r="P52" s="21"/>
      <c r="Q52" s="12" t="s">
        <v>86</v>
      </c>
    </row>
    <row r="53" ht="68" customHeight="1" spans="1:17">
      <c r="A53" s="19" t="s">
        <v>418</v>
      </c>
      <c r="B53" s="11" t="s">
        <v>43</v>
      </c>
      <c r="C53" s="11" t="s">
        <v>419</v>
      </c>
      <c r="D53" s="11" t="s">
        <v>420</v>
      </c>
      <c r="E53" s="20" t="s">
        <v>34</v>
      </c>
      <c r="F53" s="20" t="s">
        <v>80</v>
      </c>
      <c r="G53" s="11" t="s">
        <v>421</v>
      </c>
      <c r="H53" s="11" t="s">
        <v>82</v>
      </c>
      <c r="I53" s="11" t="s">
        <v>422</v>
      </c>
      <c r="J53" s="11" t="s">
        <v>423</v>
      </c>
      <c r="K53" s="11" t="s">
        <v>424</v>
      </c>
      <c r="L53" s="11" t="s">
        <v>86</v>
      </c>
      <c r="M53" s="20" t="s">
        <v>87</v>
      </c>
      <c r="N53" s="20" t="s">
        <v>86</v>
      </c>
      <c r="O53" s="20" t="s">
        <v>86</v>
      </c>
      <c r="P53" s="21"/>
      <c r="Q53" s="12" t="s">
        <v>86</v>
      </c>
    </row>
    <row r="54" ht="68" customHeight="1" spans="1:17">
      <c r="A54" s="19" t="s">
        <v>425</v>
      </c>
      <c r="B54" s="11" t="s">
        <v>43</v>
      </c>
      <c r="C54" s="11" t="s">
        <v>426</v>
      </c>
      <c r="D54" s="11" t="s">
        <v>427</v>
      </c>
      <c r="E54" s="20" t="s">
        <v>36</v>
      </c>
      <c r="F54" s="20" t="s">
        <v>91</v>
      </c>
      <c r="G54" s="11" t="s">
        <v>428</v>
      </c>
      <c r="H54" s="11" t="s">
        <v>82</v>
      </c>
      <c r="I54" s="11" t="s">
        <v>429</v>
      </c>
      <c r="J54" s="11" t="s">
        <v>430</v>
      </c>
      <c r="K54" s="11" t="s">
        <v>431</v>
      </c>
      <c r="L54" s="11" t="s">
        <v>86</v>
      </c>
      <c r="M54" s="20" t="s">
        <v>87</v>
      </c>
      <c r="N54" s="20" t="s">
        <v>86</v>
      </c>
      <c r="O54" s="20" t="s">
        <v>86</v>
      </c>
      <c r="P54" s="21"/>
      <c r="Q54" s="12" t="s">
        <v>86</v>
      </c>
    </row>
    <row r="55" ht="68" customHeight="1" spans="1:17">
      <c r="A55" s="19" t="s">
        <v>432</v>
      </c>
      <c r="B55" s="11" t="s">
        <v>43</v>
      </c>
      <c r="C55" s="11" t="s">
        <v>433</v>
      </c>
      <c r="D55" s="11" t="s">
        <v>434</v>
      </c>
      <c r="E55" s="20" t="s">
        <v>36</v>
      </c>
      <c r="F55" s="20" t="s">
        <v>80</v>
      </c>
      <c r="G55" s="11" t="s">
        <v>435</v>
      </c>
      <c r="H55" s="11" t="s">
        <v>82</v>
      </c>
      <c r="I55" s="11" t="s">
        <v>436</v>
      </c>
      <c r="J55" s="11" t="s">
        <v>437</v>
      </c>
      <c r="K55" s="11" t="s">
        <v>438</v>
      </c>
      <c r="L55" s="11" t="s">
        <v>86</v>
      </c>
      <c r="M55" s="20" t="s">
        <v>87</v>
      </c>
      <c r="N55" s="20" t="s">
        <v>86</v>
      </c>
      <c r="O55" s="20" t="s">
        <v>86</v>
      </c>
      <c r="P55" s="21"/>
      <c r="Q55" s="12" t="s">
        <v>86</v>
      </c>
    </row>
    <row r="56" ht="68" customHeight="1" spans="1:17">
      <c r="A56" s="19" t="s">
        <v>439</v>
      </c>
      <c r="B56" s="11" t="s">
        <v>43</v>
      </c>
      <c r="C56" s="11" t="s">
        <v>440</v>
      </c>
      <c r="D56" s="11" t="s">
        <v>441</v>
      </c>
      <c r="E56" s="20" t="s">
        <v>36</v>
      </c>
      <c r="F56" s="20" t="s">
        <v>442</v>
      </c>
      <c r="G56" s="11" t="s">
        <v>443</v>
      </c>
      <c r="H56" s="11" t="s">
        <v>82</v>
      </c>
      <c r="I56" s="11" t="s">
        <v>444</v>
      </c>
      <c r="J56" s="11" t="s">
        <v>445</v>
      </c>
      <c r="K56" s="11" t="s">
        <v>446</v>
      </c>
      <c r="L56" s="11" t="s">
        <v>86</v>
      </c>
      <c r="M56" s="20" t="s">
        <v>87</v>
      </c>
      <c r="N56" s="20" t="s">
        <v>86</v>
      </c>
      <c r="O56" s="20" t="s">
        <v>86</v>
      </c>
      <c r="P56" s="21"/>
      <c r="Q56" s="12" t="s">
        <v>86</v>
      </c>
    </row>
    <row r="57" ht="68" customHeight="1" spans="1:17">
      <c r="A57" s="19" t="s">
        <v>447</v>
      </c>
      <c r="B57" s="11" t="s">
        <v>45</v>
      </c>
      <c r="C57" s="11" t="s">
        <v>448</v>
      </c>
      <c r="D57" s="11" t="s">
        <v>449</v>
      </c>
      <c r="E57" s="20" t="s">
        <v>36</v>
      </c>
      <c r="F57" s="20" t="s">
        <v>128</v>
      </c>
      <c r="G57" s="11" t="s">
        <v>450</v>
      </c>
      <c r="H57" s="11" t="s">
        <v>82</v>
      </c>
      <c r="I57" s="11" t="s">
        <v>451</v>
      </c>
      <c r="J57" s="11" t="s">
        <v>452</v>
      </c>
      <c r="K57" s="11" t="s">
        <v>453</v>
      </c>
      <c r="L57" s="11" t="s">
        <v>86</v>
      </c>
      <c r="M57" s="20" t="s">
        <v>87</v>
      </c>
      <c r="N57" s="20" t="s">
        <v>86</v>
      </c>
      <c r="O57" s="20" t="s">
        <v>86</v>
      </c>
      <c r="P57" s="21"/>
      <c r="Q57" s="12" t="s">
        <v>86</v>
      </c>
    </row>
    <row r="58" ht="68" customHeight="1" spans="1:17">
      <c r="A58" s="19" t="s">
        <v>454</v>
      </c>
      <c r="B58" s="11" t="s">
        <v>45</v>
      </c>
      <c r="C58" s="11" t="s">
        <v>455</v>
      </c>
      <c r="D58" s="11" t="s">
        <v>456</v>
      </c>
      <c r="E58" s="20" t="s">
        <v>36</v>
      </c>
      <c r="F58" s="20" t="s">
        <v>128</v>
      </c>
      <c r="G58" s="11" t="s">
        <v>457</v>
      </c>
      <c r="H58" s="11" t="s">
        <v>82</v>
      </c>
      <c r="I58" s="11" t="s">
        <v>458</v>
      </c>
      <c r="J58" s="11" t="s">
        <v>459</v>
      </c>
      <c r="K58" s="11" t="s">
        <v>460</v>
      </c>
      <c r="L58" s="11" t="s">
        <v>86</v>
      </c>
      <c r="M58" s="20" t="s">
        <v>87</v>
      </c>
      <c r="N58" s="20" t="s">
        <v>86</v>
      </c>
      <c r="O58" s="20" t="s">
        <v>86</v>
      </c>
      <c r="P58" s="21"/>
      <c r="Q58" s="12" t="s">
        <v>86</v>
      </c>
    </row>
    <row r="59" ht="68" customHeight="1" spans="1:17">
      <c r="A59" s="19" t="s">
        <v>461</v>
      </c>
      <c r="B59" s="11" t="s">
        <v>45</v>
      </c>
      <c r="C59" s="11" t="s">
        <v>462</v>
      </c>
      <c r="D59" s="11" t="s">
        <v>463</v>
      </c>
      <c r="E59" s="20" t="s">
        <v>36</v>
      </c>
      <c r="F59" s="20" t="s">
        <v>128</v>
      </c>
      <c r="G59" s="11" t="s">
        <v>464</v>
      </c>
      <c r="H59" s="11" t="s">
        <v>82</v>
      </c>
      <c r="I59" s="11" t="s">
        <v>465</v>
      </c>
      <c r="J59" s="11" t="s">
        <v>466</v>
      </c>
      <c r="K59" s="11" t="s">
        <v>467</v>
      </c>
      <c r="L59" s="11" t="s">
        <v>86</v>
      </c>
      <c r="M59" s="20" t="s">
        <v>87</v>
      </c>
      <c r="N59" s="20" t="s">
        <v>86</v>
      </c>
      <c r="O59" s="20" t="s">
        <v>86</v>
      </c>
      <c r="P59" s="21"/>
      <c r="Q59" s="12" t="s">
        <v>86</v>
      </c>
    </row>
    <row r="60" ht="68" customHeight="1" spans="1:17">
      <c r="A60" s="19" t="s">
        <v>468</v>
      </c>
      <c r="B60" s="11" t="s">
        <v>45</v>
      </c>
      <c r="C60" s="11" t="s">
        <v>469</v>
      </c>
      <c r="D60" s="11" t="s">
        <v>470</v>
      </c>
      <c r="E60" s="20" t="s">
        <v>36</v>
      </c>
      <c r="F60" s="20" t="s">
        <v>128</v>
      </c>
      <c r="G60" s="11" t="s">
        <v>471</v>
      </c>
      <c r="H60" s="11" t="s">
        <v>82</v>
      </c>
      <c r="I60" s="11" t="s">
        <v>472</v>
      </c>
      <c r="J60" s="11" t="s">
        <v>473</v>
      </c>
      <c r="K60" s="11" t="s">
        <v>474</v>
      </c>
      <c r="L60" s="11" t="s">
        <v>86</v>
      </c>
      <c r="M60" s="20" t="s">
        <v>87</v>
      </c>
      <c r="N60" s="20" t="s">
        <v>86</v>
      </c>
      <c r="O60" s="20" t="s">
        <v>86</v>
      </c>
      <c r="P60" s="21"/>
      <c r="Q60" s="12" t="s">
        <v>86</v>
      </c>
    </row>
    <row r="61" ht="68" customHeight="1" spans="1:17">
      <c r="A61" s="19" t="s">
        <v>475</v>
      </c>
      <c r="B61" s="11" t="s">
        <v>45</v>
      </c>
      <c r="C61" s="11" t="s">
        <v>476</v>
      </c>
      <c r="D61" s="11" t="s">
        <v>477</v>
      </c>
      <c r="E61" s="20" t="s">
        <v>38</v>
      </c>
      <c r="F61" s="20" t="s">
        <v>128</v>
      </c>
      <c r="G61" s="11" t="s">
        <v>478</v>
      </c>
      <c r="H61" s="11" t="s">
        <v>82</v>
      </c>
      <c r="I61" s="11" t="s">
        <v>479</v>
      </c>
      <c r="J61" s="11" t="s">
        <v>480</v>
      </c>
      <c r="K61" s="11" t="s">
        <v>453</v>
      </c>
      <c r="L61" s="11" t="s">
        <v>86</v>
      </c>
      <c r="M61" s="20" t="s">
        <v>87</v>
      </c>
      <c r="N61" s="20" t="s">
        <v>86</v>
      </c>
      <c r="O61" s="20" t="s">
        <v>86</v>
      </c>
      <c r="P61" s="21"/>
      <c r="Q61" s="12" t="s">
        <v>86</v>
      </c>
    </row>
    <row r="62" ht="68" customHeight="1" spans="1:17">
      <c r="A62" s="19" t="s">
        <v>481</v>
      </c>
      <c r="B62" s="11" t="s">
        <v>45</v>
      </c>
      <c r="C62" s="11" t="s">
        <v>482</v>
      </c>
      <c r="D62" s="11" t="s">
        <v>483</v>
      </c>
      <c r="E62" s="20" t="s">
        <v>38</v>
      </c>
      <c r="F62" s="20" t="s">
        <v>128</v>
      </c>
      <c r="G62" s="11" t="s">
        <v>484</v>
      </c>
      <c r="H62" s="11" t="s">
        <v>82</v>
      </c>
      <c r="I62" s="11" t="s">
        <v>485</v>
      </c>
      <c r="J62" s="11" t="s">
        <v>486</v>
      </c>
      <c r="K62" s="11" t="s">
        <v>487</v>
      </c>
      <c r="L62" s="11" t="s">
        <v>86</v>
      </c>
      <c r="M62" s="20" t="s">
        <v>87</v>
      </c>
      <c r="N62" s="20" t="s">
        <v>86</v>
      </c>
      <c r="O62" s="20" t="s">
        <v>86</v>
      </c>
      <c r="P62" s="21"/>
      <c r="Q62" s="12" t="s">
        <v>86</v>
      </c>
    </row>
    <row r="63" ht="68" customHeight="1" spans="1:17">
      <c r="A63" s="19" t="s">
        <v>488</v>
      </c>
      <c r="B63" s="11" t="s">
        <v>45</v>
      </c>
      <c r="C63" s="11" t="s">
        <v>489</v>
      </c>
      <c r="D63" s="11" t="s">
        <v>490</v>
      </c>
      <c r="E63" s="20" t="s">
        <v>36</v>
      </c>
      <c r="F63" s="20" t="s">
        <v>491</v>
      </c>
      <c r="G63" s="11" t="s">
        <v>492</v>
      </c>
      <c r="H63" s="11" t="s">
        <v>82</v>
      </c>
      <c r="I63" s="11" t="s">
        <v>493</v>
      </c>
      <c r="J63" s="11" t="s">
        <v>494</v>
      </c>
      <c r="K63" s="11" t="s">
        <v>495</v>
      </c>
      <c r="L63" s="11" t="s">
        <v>86</v>
      </c>
      <c r="M63" s="20" t="s">
        <v>87</v>
      </c>
      <c r="N63" s="20" t="s">
        <v>86</v>
      </c>
      <c r="O63" s="20" t="s">
        <v>86</v>
      </c>
      <c r="P63" s="21"/>
      <c r="Q63" s="12" t="s">
        <v>86</v>
      </c>
    </row>
    <row r="64" ht="68" customHeight="1" spans="1:17">
      <c r="A64" s="19" t="s">
        <v>496</v>
      </c>
      <c r="B64" s="11" t="s">
        <v>46</v>
      </c>
      <c r="C64" s="11" t="s">
        <v>497</v>
      </c>
      <c r="D64" s="11" t="s">
        <v>498</v>
      </c>
      <c r="E64" s="20" t="s">
        <v>34</v>
      </c>
      <c r="F64" s="20" t="s">
        <v>80</v>
      </c>
      <c r="G64" s="11" t="s">
        <v>499</v>
      </c>
      <c r="H64" s="11" t="s">
        <v>82</v>
      </c>
      <c r="I64" s="11" t="s">
        <v>500</v>
      </c>
      <c r="J64" s="11" t="s">
        <v>501</v>
      </c>
      <c r="K64" s="11" t="s">
        <v>502</v>
      </c>
      <c r="L64" s="11" t="s">
        <v>86</v>
      </c>
      <c r="M64" s="20" t="s">
        <v>87</v>
      </c>
      <c r="N64" s="20" t="s">
        <v>86</v>
      </c>
      <c r="O64" s="20" t="s">
        <v>86</v>
      </c>
      <c r="P64" s="21"/>
      <c r="Q64" s="12" t="s">
        <v>86</v>
      </c>
    </row>
    <row r="65" ht="68" customHeight="1" spans="1:17">
      <c r="A65" s="19" t="s">
        <v>503</v>
      </c>
      <c r="B65" s="11" t="s">
        <v>46</v>
      </c>
      <c r="C65" s="11" t="s">
        <v>504</v>
      </c>
      <c r="D65" s="11" t="s">
        <v>505</v>
      </c>
      <c r="E65" s="20" t="s">
        <v>34</v>
      </c>
      <c r="F65" s="20" t="s">
        <v>80</v>
      </c>
      <c r="G65" s="11" t="s">
        <v>506</v>
      </c>
      <c r="H65" s="11" t="s">
        <v>82</v>
      </c>
      <c r="I65" s="11" t="s">
        <v>507</v>
      </c>
      <c r="J65" s="11" t="s">
        <v>508</v>
      </c>
      <c r="K65" s="11" t="s">
        <v>509</v>
      </c>
      <c r="L65" s="11" t="s">
        <v>86</v>
      </c>
      <c r="M65" s="20" t="s">
        <v>87</v>
      </c>
      <c r="N65" s="20" t="s">
        <v>86</v>
      </c>
      <c r="O65" s="20" t="s">
        <v>86</v>
      </c>
      <c r="P65" s="21"/>
      <c r="Q65" s="12" t="s">
        <v>86</v>
      </c>
    </row>
    <row r="66" ht="68" customHeight="1" spans="1:17">
      <c r="A66" s="19" t="s">
        <v>510</v>
      </c>
      <c r="B66" s="11" t="s">
        <v>46</v>
      </c>
      <c r="C66" s="11" t="s">
        <v>511</v>
      </c>
      <c r="D66" s="11" t="s">
        <v>512</v>
      </c>
      <c r="E66" s="20" t="s">
        <v>34</v>
      </c>
      <c r="F66" s="20" t="s">
        <v>80</v>
      </c>
      <c r="G66" s="11" t="s">
        <v>513</v>
      </c>
      <c r="H66" s="11" t="s">
        <v>82</v>
      </c>
      <c r="I66" s="11" t="s">
        <v>514</v>
      </c>
      <c r="J66" s="11" t="s">
        <v>515</v>
      </c>
      <c r="K66" s="11" t="s">
        <v>516</v>
      </c>
      <c r="L66" s="11" t="s">
        <v>86</v>
      </c>
      <c r="M66" s="20" t="s">
        <v>87</v>
      </c>
      <c r="N66" s="20" t="s">
        <v>86</v>
      </c>
      <c r="O66" s="20" t="s">
        <v>86</v>
      </c>
      <c r="P66" s="21"/>
      <c r="Q66" s="12" t="s">
        <v>86</v>
      </c>
    </row>
    <row r="67" ht="68" customHeight="1" spans="1:17">
      <c r="A67" s="19" t="s">
        <v>517</v>
      </c>
      <c r="B67" s="11" t="s">
        <v>46</v>
      </c>
      <c r="C67" s="11" t="s">
        <v>518</v>
      </c>
      <c r="D67" s="11" t="s">
        <v>519</v>
      </c>
      <c r="E67" s="20" t="s">
        <v>34</v>
      </c>
      <c r="F67" s="20" t="s">
        <v>520</v>
      </c>
      <c r="G67" s="11" t="s">
        <v>521</v>
      </c>
      <c r="H67" s="11" t="s">
        <v>82</v>
      </c>
      <c r="I67" s="11" t="s">
        <v>522</v>
      </c>
      <c r="J67" s="11" t="s">
        <v>523</v>
      </c>
      <c r="K67" s="11" t="s">
        <v>524</v>
      </c>
      <c r="L67" s="11" t="s">
        <v>86</v>
      </c>
      <c r="M67" s="20" t="s">
        <v>87</v>
      </c>
      <c r="N67" s="20" t="s">
        <v>86</v>
      </c>
      <c r="O67" s="20" t="s">
        <v>86</v>
      </c>
      <c r="P67" s="21"/>
      <c r="Q67" s="12" t="s">
        <v>86</v>
      </c>
    </row>
    <row r="68" ht="68" customHeight="1" spans="1:17">
      <c r="A68" s="19" t="s">
        <v>525</v>
      </c>
      <c r="B68" s="11" t="s">
        <v>46</v>
      </c>
      <c r="C68" s="11" t="s">
        <v>526</v>
      </c>
      <c r="D68" s="11" t="s">
        <v>527</v>
      </c>
      <c r="E68" s="20" t="s">
        <v>34</v>
      </c>
      <c r="F68" s="20" t="s">
        <v>274</v>
      </c>
      <c r="G68" s="11" t="s">
        <v>528</v>
      </c>
      <c r="H68" s="11" t="s">
        <v>82</v>
      </c>
      <c r="I68" s="11" t="s">
        <v>529</v>
      </c>
      <c r="J68" s="11" t="s">
        <v>530</v>
      </c>
      <c r="K68" s="11" t="s">
        <v>531</v>
      </c>
      <c r="L68" s="11" t="s">
        <v>86</v>
      </c>
      <c r="M68" s="20" t="s">
        <v>87</v>
      </c>
      <c r="N68" s="20" t="s">
        <v>86</v>
      </c>
      <c r="O68" s="20" t="s">
        <v>86</v>
      </c>
      <c r="P68" s="21"/>
      <c r="Q68" s="12" t="s">
        <v>86</v>
      </c>
    </row>
    <row r="69" ht="68" customHeight="1" spans="1:17">
      <c r="A69" s="19" t="s">
        <v>532</v>
      </c>
      <c r="B69" s="11" t="s">
        <v>46</v>
      </c>
      <c r="C69" s="11" t="s">
        <v>533</v>
      </c>
      <c r="D69" s="11" t="s">
        <v>534</v>
      </c>
      <c r="E69" s="20" t="s">
        <v>34</v>
      </c>
      <c r="F69" s="20" t="s">
        <v>274</v>
      </c>
      <c r="G69" s="11" t="s">
        <v>535</v>
      </c>
      <c r="H69" s="11" t="s">
        <v>82</v>
      </c>
      <c r="I69" s="11" t="s">
        <v>536</v>
      </c>
      <c r="J69" s="11" t="s">
        <v>537</v>
      </c>
      <c r="K69" s="11" t="s">
        <v>538</v>
      </c>
      <c r="L69" s="11" t="s">
        <v>86</v>
      </c>
      <c r="M69" s="20" t="s">
        <v>87</v>
      </c>
      <c r="N69" s="20" t="s">
        <v>86</v>
      </c>
      <c r="O69" s="20" t="s">
        <v>86</v>
      </c>
      <c r="P69" s="21"/>
      <c r="Q69" s="12" t="s">
        <v>86</v>
      </c>
    </row>
    <row r="70" ht="68" customHeight="1" spans="1:17">
      <c r="A70" s="19" t="s">
        <v>539</v>
      </c>
      <c r="B70" s="11" t="s">
        <v>46</v>
      </c>
      <c r="C70" s="11" t="s">
        <v>540</v>
      </c>
      <c r="D70" s="11" t="s">
        <v>541</v>
      </c>
      <c r="E70" s="20" t="s">
        <v>36</v>
      </c>
      <c r="F70" s="20" t="s">
        <v>274</v>
      </c>
      <c r="G70" s="11" t="s">
        <v>542</v>
      </c>
      <c r="H70" s="11" t="s">
        <v>82</v>
      </c>
      <c r="I70" s="11" t="s">
        <v>543</v>
      </c>
      <c r="J70" s="11" t="s">
        <v>544</v>
      </c>
      <c r="K70" s="11" t="s">
        <v>545</v>
      </c>
      <c r="L70" s="11" t="s">
        <v>86</v>
      </c>
      <c r="M70" s="20" t="s">
        <v>87</v>
      </c>
      <c r="N70" s="20" t="s">
        <v>86</v>
      </c>
      <c r="O70" s="20" t="s">
        <v>86</v>
      </c>
      <c r="P70" s="21"/>
      <c r="Q70" s="12" t="s">
        <v>86</v>
      </c>
    </row>
    <row r="71" ht="68" customHeight="1" spans="1:17">
      <c r="A71" s="19" t="s">
        <v>546</v>
      </c>
      <c r="B71" s="11" t="s">
        <v>46</v>
      </c>
      <c r="C71" s="11" t="s">
        <v>547</v>
      </c>
      <c r="D71" s="11" t="s">
        <v>548</v>
      </c>
      <c r="E71" s="20" t="s">
        <v>34</v>
      </c>
      <c r="F71" s="20" t="s">
        <v>549</v>
      </c>
      <c r="G71" s="11" t="s">
        <v>550</v>
      </c>
      <c r="H71" s="11" t="s">
        <v>82</v>
      </c>
      <c r="I71" s="11" t="s">
        <v>551</v>
      </c>
      <c r="J71" s="11" t="s">
        <v>552</v>
      </c>
      <c r="K71" s="11" t="s">
        <v>553</v>
      </c>
      <c r="L71" s="11" t="s">
        <v>86</v>
      </c>
      <c r="M71" s="20" t="s">
        <v>87</v>
      </c>
      <c r="N71" s="20" t="s">
        <v>86</v>
      </c>
      <c r="O71" s="20" t="s">
        <v>86</v>
      </c>
      <c r="P71" s="21"/>
      <c r="Q71" s="12" t="s">
        <v>86</v>
      </c>
    </row>
    <row r="72" ht="68" customHeight="1" spans="1:17">
      <c r="A72" s="19" t="s">
        <v>554</v>
      </c>
      <c r="B72" s="11" t="s">
        <v>46</v>
      </c>
      <c r="C72" s="11" t="s">
        <v>555</v>
      </c>
      <c r="D72" s="11" t="s">
        <v>556</v>
      </c>
      <c r="E72" s="20" t="s">
        <v>34</v>
      </c>
      <c r="F72" s="20" t="s">
        <v>128</v>
      </c>
      <c r="G72" s="11" t="s">
        <v>557</v>
      </c>
      <c r="H72" s="11" t="s">
        <v>82</v>
      </c>
      <c r="I72" s="11" t="s">
        <v>558</v>
      </c>
      <c r="J72" s="11" t="s">
        <v>559</v>
      </c>
      <c r="K72" s="11" t="s">
        <v>560</v>
      </c>
      <c r="L72" s="11" t="s">
        <v>86</v>
      </c>
      <c r="M72" s="20" t="s">
        <v>87</v>
      </c>
      <c r="N72" s="20" t="s">
        <v>86</v>
      </c>
      <c r="O72" s="20" t="s">
        <v>86</v>
      </c>
      <c r="P72" s="21"/>
      <c r="Q72" s="12" t="s">
        <v>86</v>
      </c>
    </row>
    <row r="73" ht="68" customHeight="1" spans="1:17">
      <c r="A73" s="19" t="s">
        <v>561</v>
      </c>
      <c r="B73" s="11" t="s">
        <v>47</v>
      </c>
      <c r="C73" s="11" t="s">
        <v>562</v>
      </c>
      <c r="D73" s="11" t="s">
        <v>563</v>
      </c>
      <c r="E73" s="20" t="s">
        <v>34</v>
      </c>
      <c r="F73" s="20" t="s">
        <v>80</v>
      </c>
      <c r="G73" s="11" t="s">
        <v>564</v>
      </c>
      <c r="H73" s="11" t="s">
        <v>82</v>
      </c>
      <c r="I73" s="11" t="s">
        <v>565</v>
      </c>
      <c r="J73" s="11" t="s">
        <v>566</v>
      </c>
      <c r="K73" s="11" t="s">
        <v>567</v>
      </c>
      <c r="L73" s="11" t="s">
        <v>86</v>
      </c>
      <c r="M73" s="20" t="s">
        <v>87</v>
      </c>
      <c r="N73" s="20" t="s">
        <v>86</v>
      </c>
      <c r="O73" s="20" t="s">
        <v>86</v>
      </c>
      <c r="P73" s="21"/>
      <c r="Q73" s="12" t="s">
        <v>86</v>
      </c>
    </row>
    <row r="74" ht="68" customHeight="1" spans="1:17">
      <c r="A74" s="19" t="s">
        <v>568</v>
      </c>
      <c r="B74" s="11" t="s">
        <v>47</v>
      </c>
      <c r="C74" s="11" t="s">
        <v>569</v>
      </c>
      <c r="D74" s="11" t="s">
        <v>570</v>
      </c>
      <c r="E74" s="20" t="s">
        <v>34</v>
      </c>
      <c r="F74" s="20" t="s">
        <v>80</v>
      </c>
      <c r="G74" s="11" t="s">
        <v>571</v>
      </c>
      <c r="H74" s="11" t="s">
        <v>82</v>
      </c>
      <c r="I74" s="11" t="s">
        <v>572</v>
      </c>
      <c r="J74" s="11" t="s">
        <v>573</v>
      </c>
      <c r="K74" s="11" t="s">
        <v>574</v>
      </c>
      <c r="L74" s="11" t="s">
        <v>86</v>
      </c>
      <c r="M74" s="20" t="s">
        <v>87</v>
      </c>
      <c r="N74" s="20" t="s">
        <v>86</v>
      </c>
      <c r="O74" s="20" t="s">
        <v>86</v>
      </c>
      <c r="P74" s="21"/>
      <c r="Q74" s="12" t="s">
        <v>86</v>
      </c>
    </row>
    <row r="75" ht="68" customHeight="1" spans="1:17">
      <c r="A75" s="19" t="s">
        <v>575</v>
      </c>
      <c r="B75" s="11" t="s">
        <v>47</v>
      </c>
      <c r="C75" s="11" t="s">
        <v>576</v>
      </c>
      <c r="D75" s="11" t="s">
        <v>577</v>
      </c>
      <c r="E75" s="20" t="s">
        <v>34</v>
      </c>
      <c r="F75" s="20" t="s">
        <v>80</v>
      </c>
      <c r="G75" s="11" t="s">
        <v>578</v>
      </c>
      <c r="H75" s="11" t="s">
        <v>82</v>
      </c>
      <c r="I75" s="11" t="s">
        <v>579</v>
      </c>
      <c r="J75" s="11" t="s">
        <v>580</v>
      </c>
      <c r="K75" s="11" t="s">
        <v>581</v>
      </c>
      <c r="L75" s="11" t="s">
        <v>86</v>
      </c>
      <c r="M75" s="20" t="s">
        <v>87</v>
      </c>
      <c r="N75" s="20" t="s">
        <v>86</v>
      </c>
      <c r="O75" s="20" t="s">
        <v>86</v>
      </c>
      <c r="P75" s="21"/>
      <c r="Q75" s="12" t="s">
        <v>86</v>
      </c>
    </row>
    <row r="76" ht="68" customHeight="1" spans="1:17">
      <c r="A76" s="19" t="s">
        <v>582</v>
      </c>
      <c r="B76" s="11" t="s">
        <v>47</v>
      </c>
      <c r="C76" s="11" t="s">
        <v>583</v>
      </c>
      <c r="D76" s="11" t="s">
        <v>584</v>
      </c>
      <c r="E76" s="20" t="s">
        <v>36</v>
      </c>
      <c r="F76" s="20" t="s">
        <v>91</v>
      </c>
      <c r="G76" s="11" t="s">
        <v>585</v>
      </c>
      <c r="H76" s="11" t="s">
        <v>82</v>
      </c>
      <c r="I76" s="11" t="s">
        <v>586</v>
      </c>
      <c r="J76" s="11" t="s">
        <v>587</v>
      </c>
      <c r="K76" s="11" t="s">
        <v>588</v>
      </c>
      <c r="L76" s="11" t="s">
        <v>86</v>
      </c>
      <c r="M76" s="20" t="s">
        <v>87</v>
      </c>
      <c r="N76" s="20" t="s">
        <v>86</v>
      </c>
      <c r="O76" s="20" t="s">
        <v>86</v>
      </c>
      <c r="P76" s="21"/>
      <c r="Q76" s="12" t="s">
        <v>86</v>
      </c>
    </row>
    <row r="77" ht="68" customHeight="1" spans="1:17">
      <c r="A77" s="19" t="s">
        <v>589</v>
      </c>
      <c r="B77" s="11" t="s">
        <v>47</v>
      </c>
      <c r="C77" s="11" t="s">
        <v>590</v>
      </c>
      <c r="D77" s="11" t="s">
        <v>591</v>
      </c>
      <c r="E77" s="20" t="s">
        <v>34</v>
      </c>
      <c r="F77" s="20" t="s">
        <v>80</v>
      </c>
      <c r="G77" s="11" t="s">
        <v>592</v>
      </c>
      <c r="H77" s="11" t="s">
        <v>82</v>
      </c>
      <c r="I77" s="11" t="s">
        <v>593</v>
      </c>
      <c r="J77" s="11" t="s">
        <v>594</v>
      </c>
      <c r="K77" s="11" t="s">
        <v>595</v>
      </c>
      <c r="L77" s="11" t="s">
        <v>86</v>
      </c>
      <c r="M77" s="20" t="s">
        <v>87</v>
      </c>
      <c r="N77" s="20" t="s">
        <v>86</v>
      </c>
      <c r="O77" s="20" t="s">
        <v>86</v>
      </c>
      <c r="P77" s="21"/>
      <c r="Q77" s="12" t="s">
        <v>86</v>
      </c>
    </row>
    <row r="78" ht="68" customHeight="1" spans="1:17">
      <c r="A78" s="19" t="s">
        <v>596</v>
      </c>
      <c r="B78" s="11" t="s">
        <v>47</v>
      </c>
      <c r="C78" s="11" t="s">
        <v>597</v>
      </c>
      <c r="D78" s="11" t="s">
        <v>598</v>
      </c>
      <c r="E78" s="20" t="s">
        <v>34</v>
      </c>
      <c r="F78" s="20" t="s">
        <v>549</v>
      </c>
      <c r="G78" s="11" t="s">
        <v>599</v>
      </c>
      <c r="H78" s="11" t="s">
        <v>82</v>
      </c>
      <c r="I78" s="11" t="s">
        <v>600</v>
      </c>
      <c r="J78" s="11" t="s">
        <v>601</v>
      </c>
      <c r="K78" s="11" t="s">
        <v>602</v>
      </c>
      <c r="L78" s="11" t="s">
        <v>86</v>
      </c>
      <c r="M78" s="20" t="s">
        <v>87</v>
      </c>
      <c r="N78" s="20" t="s">
        <v>86</v>
      </c>
      <c r="O78" s="20" t="s">
        <v>86</v>
      </c>
      <c r="P78" s="21"/>
      <c r="Q78" s="12" t="s">
        <v>86</v>
      </c>
    </row>
    <row r="79" ht="68" customHeight="1" spans="1:17">
      <c r="A79" s="19" t="s">
        <v>603</v>
      </c>
      <c r="B79" s="11" t="s">
        <v>47</v>
      </c>
      <c r="C79" s="11" t="s">
        <v>604</v>
      </c>
      <c r="D79" s="11" t="s">
        <v>605</v>
      </c>
      <c r="E79" s="20" t="s">
        <v>34</v>
      </c>
      <c r="F79" s="20" t="s">
        <v>152</v>
      </c>
      <c r="G79" s="11" t="s">
        <v>606</v>
      </c>
      <c r="H79" s="11" t="s">
        <v>82</v>
      </c>
      <c r="I79" s="11" t="s">
        <v>607</v>
      </c>
      <c r="J79" s="11" t="s">
        <v>608</v>
      </c>
      <c r="K79" s="11" t="s">
        <v>609</v>
      </c>
      <c r="L79" s="11" t="s">
        <v>86</v>
      </c>
      <c r="M79" s="20" t="s">
        <v>87</v>
      </c>
      <c r="N79" s="20" t="s">
        <v>86</v>
      </c>
      <c r="O79" s="20" t="s">
        <v>86</v>
      </c>
      <c r="P79" s="21"/>
      <c r="Q79" s="12" t="s">
        <v>86</v>
      </c>
    </row>
    <row r="80" ht="68" customHeight="1" spans="1:17">
      <c r="A80" s="19" t="s">
        <v>610</v>
      </c>
      <c r="B80" s="11" t="s">
        <v>47</v>
      </c>
      <c r="C80" s="11" t="s">
        <v>611</v>
      </c>
      <c r="D80" s="11" t="s">
        <v>612</v>
      </c>
      <c r="E80" s="20" t="s">
        <v>34</v>
      </c>
      <c r="F80" s="20" t="s">
        <v>80</v>
      </c>
      <c r="G80" s="11" t="s">
        <v>613</v>
      </c>
      <c r="H80" s="11" t="s">
        <v>82</v>
      </c>
      <c r="I80" s="11" t="s">
        <v>614</v>
      </c>
      <c r="J80" s="11" t="s">
        <v>615</v>
      </c>
      <c r="K80" s="11" t="s">
        <v>616</v>
      </c>
      <c r="L80" s="11" t="s">
        <v>86</v>
      </c>
      <c r="M80" s="20" t="s">
        <v>87</v>
      </c>
      <c r="N80" s="20" t="s">
        <v>86</v>
      </c>
      <c r="O80" s="20" t="s">
        <v>86</v>
      </c>
      <c r="P80" s="21"/>
      <c r="Q80" s="12" t="s">
        <v>86</v>
      </c>
    </row>
    <row r="81" ht="68" customHeight="1" spans="1:17">
      <c r="A81" s="19" t="s">
        <v>617</v>
      </c>
      <c r="B81" s="11" t="s">
        <v>47</v>
      </c>
      <c r="C81" s="11" t="s">
        <v>618</v>
      </c>
      <c r="D81" s="11" t="s">
        <v>619</v>
      </c>
      <c r="E81" s="20" t="s">
        <v>36</v>
      </c>
      <c r="F81" s="20" t="s">
        <v>128</v>
      </c>
      <c r="G81" s="11" t="s">
        <v>620</v>
      </c>
      <c r="H81" s="11" t="s">
        <v>82</v>
      </c>
      <c r="I81" s="11" t="s">
        <v>621</v>
      </c>
      <c r="J81" s="11" t="s">
        <v>622</v>
      </c>
      <c r="K81" s="11" t="s">
        <v>623</v>
      </c>
      <c r="L81" s="11" t="s">
        <v>86</v>
      </c>
      <c r="M81" s="20" t="s">
        <v>87</v>
      </c>
      <c r="N81" s="20" t="s">
        <v>86</v>
      </c>
      <c r="O81" s="20" t="s">
        <v>86</v>
      </c>
      <c r="P81" s="21"/>
      <c r="Q81" s="12" t="s">
        <v>86</v>
      </c>
    </row>
    <row r="82" ht="68" customHeight="1" spans="1:17">
      <c r="A82" s="19" t="s">
        <v>624</v>
      </c>
      <c r="B82" s="11" t="s">
        <v>48</v>
      </c>
      <c r="C82" s="11" t="s">
        <v>625</v>
      </c>
      <c r="D82" s="11" t="s">
        <v>626</v>
      </c>
      <c r="E82" s="20" t="s">
        <v>34</v>
      </c>
      <c r="F82" s="20" t="s">
        <v>80</v>
      </c>
      <c r="G82" s="11" t="s">
        <v>627</v>
      </c>
      <c r="H82" s="11" t="s">
        <v>82</v>
      </c>
      <c r="I82" s="11" t="s">
        <v>628</v>
      </c>
      <c r="J82" s="11" t="s">
        <v>629</v>
      </c>
      <c r="K82" s="11" t="s">
        <v>630</v>
      </c>
      <c r="L82" s="11" t="s">
        <v>86</v>
      </c>
      <c r="M82" s="20" t="s">
        <v>87</v>
      </c>
      <c r="N82" s="20" t="s">
        <v>86</v>
      </c>
      <c r="O82" s="20" t="s">
        <v>86</v>
      </c>
      <c r="P82" s="21"/>
      <c r="Q82" s="12" t="s">
        <v>86</v>
      </c>
    </row>
    <row r="83" ht="68" customHeight="1" spans="1:17">
      <c r="A83" s="19" t="s">
        <v>631</v>
      </c>
      <c r="B83" s="11" t="s">
        <v>48</v>
      </c>
      <c r="C83" s="11" t="s">
        <v>632</v>
      </c>
      <c r="D83" s="11" t="s">
        <v>633</v>
      </c>
      <c r="E83" s="20" t="s">
        <v>34</v>
      </c>
      <c r="F83" s="20" t="s">
        <v>80</v>
      </c>
      <c r="G83" s="11" t="s">
        <v>634</v>
      </c>
      <c r="H83" s="11" t="s">
        <v>82</v>
      </c>
      <c r="I83" s="11" t="s">
        <v>635</v>
      </c>
      <c r="J83" s="11" t="s">
        <v>636</v>
      </c>
      <c r="K83" s="11" t="s">
        <v>637</v>
      </c>
      <c r="L83" s="11" t="s">
        <v>86</v>
      </c>
      <c r="M83" s="20" t="s">
        <v>87</v>
      </c>
      <c r="N83" s="20" t="s">
        <v>86</v>
      </c>
      <c r="O83" s="20" t="s">
        <v>86</v>
      </c>
      <c r="P83" s="21"/>
      <c r="Q83" s="12" t="s">
        <v>86</v>
      </c>
    </row>
    <row r="84" ht="68" customHeight="1" spans="1:17">
      <c r="A84" s="19" t="s">
        <v>638</v>
      </c>
      <c r="B84" s="11" t="s">
        <v>48</v>
      </c>
      <c r="C84" s="11" t="s">
        <v>639</v>
      </c>
      <c r="D84" s="11" t="s">
        <v>640</v>
      </c>
      <c r="E84" s="20" t="s">
        <v>34</v>
      </c>
      <c r="F84" s="20" t="s">
        <v>91</v>
      </c>
      <c r="G84" s="11" t="s">
        <v>641</v>
      </c>
      <c r="H84" s="11" t="s">
        <v>82</v>
      </c>
      <c r="I84" s="11" t="s">
        <v>642</v>
      </c>
      <c r="J84" s="11" t="s">
        <v>643</v>
      </c>
      <c r="K84" s="11" t="s">
        <v>644</v>
      </c>
      <c r="L84" s="11" t="s">
        <v>86</v>
      </c>
      <c r="M84" s="20" t="s">
        <v>87</v>
      </c>
      <c r="N84" s="20" t="s">
        <v>86</v>
      </c>
      <c r="O84" s="20" t="s">
        <v>86</v>
      </c>
      <c r="P84" s="21"/>
      <c r="Q84" s="12" t="s">
        <v>86</v>
      </c>
    </row>
    <row r="85" ht="68" customHeight="1" spans="1:17">
      <c r="A85" s="19" t="s">
        <v>645</v>
      </c>
      <c r="B85" s="11" t="s">
        <v>48</v>
      </c>
      <c r="C85" s="11" t="s">
        <v>646</v>
      </c>
      <c r="D85" s="11" t="s">
        <v>647</v>
      </c>
      <c r="E85" s="20" t="s">
        <v>36</v>
      </c>
      <c r="F85" s="20" t="s">
        <v>648</v>
      </c>
      <c r="G85" s="11" t="s">
        <v>649</v>
      </c>
      <c r="H85" s="11" t="s">
        <v>82</v>
      </c>
      <c r="I85" s="11" t="s">
        <v>650</v>
      </c>
      <c r="J85" s="11" t="s">
        <v>651</v>
      </c>
      <c r="K85" s="11" t="s">
        <v>652</v>
      </c>
      <c r="L85" s="11" t="s">
        <v>86</v>
      </c>
      <c r="M85" s="20" t="s">
        <v>87</v>
      </c>
      <c r="N85" s="20" t="s">
        <v>86</v>
      </c>
      <c r="O85" s="20" t="s">
        <v>86</v>
      </c>
      <c r="P85" s="21"/>
      <c r="Q85" s="12" t="s">
        <v>86</v>
      </c>
    </row>
    <row r="86" ht="68" customHeight="1" spans="1:17">
      <c r="A86" s="19" t="s">
        <v>653</v>
      </c>
      <c r="B86" s="11" t="s">
        <v>48</v>
      </c>
      <c r="C86" s="11" t="s">
        <v>654</v>
      </c>
      <c r="D86" s="11" t="s">
        <v>655</v>
      </c>
      <c r="E86" s="20" t="s">
        <v>36</v>
      </c>
      <c r="F86" s="20" t="s">
        <v>392</v>
      </c>
      <c r="G86" s="11" t="s">
        <v>656</v>
      </c>
      <c r="H86" s="11" t="s">
        <v>82</v>
      </c>
      <c r="I86" s="11" t="s">
        <v>657</v>
      </c>
      <c r="J86" s="11" t="s">
        <v>658</v>
      </c>
      <c r="K86" s="11" t="s">
        <v>659</v>
      </c>
      <c r="L86" s="11" t="s">
        <v>86</v>
      </c>
      <c r="M86" s="20" t="s">
        <v>87</v>
      </c>
      <c r="N86" s="20" t="s">
        <v>86</v>
      </c>
      <c r="O86" s="20" t="s">
        <v>86</v>
      </c>
      <c r="P86" s="21"/>
      <c r="Q86" s="12" t="s">
        <v>86</v>
      </c>
    </row>
    <row r="87" ht="68" customHeight="1" spans="1:17">
      <c r="A87" s="19" t="s">
        <v>660</v>
      </c>
      <c r="B87" s="11" t="s">
        <v>48</v>
      </c>
      <c r="C87" s="11" t="s">
        <v>661</v>
      </c>
      <c r="D87" s="11" t="s">
        <v>662</v>
      </c>
      <c r="E87" s="20" t="s">
        <v>36</v>
      </c>
      <c r="F87" s="20" t="s">
        <v>392</v>
      </c>
      <c r="G87" s="11" t="s">
        <v>663</v>
      </c>
      <c r="H87" s="11" t="s">
        <v>82</v>
      </c>
      <c r="I87" s="11" t="s">
        <v>664</v>
      </c>
      <c r="J87" s="11" t="s">
        <v>665</v>
      </c>
      <c r="K87" s="11" t="s">
        <v>666</v>
      </c>
      <c r="L87" s="11" t="s">
        <v>86</v>
      </c>
      <c r="M87" s="20" t="s">
        <v>87</v>
      </c>
      <c r="N87" s="20" t="s">
        <v>86</v>
      </c>
      <c r="O87" s="20" t="s">
        <v>86</v>
      </c>
      <c r="P87" s="21"/>
      <c r="Q87" s="12" t="s">
        <v>86</v>
      </c>
    </row>
    <row r="88" ht="68" customHeight="1" spans="1:17">
      <c r="A88" s="19" t="s">
        <v>667</v>
      </c>
      <c r="B88" s="11" t="s">
        <v>48</v>
      </c>
      <c r="C88" s="11" t="s">
        <v>668</v>
      </c>
      <c r="D88" s="11" t="s">
        <v>669</v>
      </c>
      <c r="E88" s="20" t="s">
        <v>34</v>
      </c>
      <c r="F88" s="20" t="s">
        <v>266</v>
      </c>
      <c r="G88" s="11" t="s">
        <v>670</v>
      </c>
      <c r="H88" s="11" t="s">
        <v>82</v>
      </c>
      <c r="I88" s="11" t="s">
        <v>671</v>
      </c>
      <c r="J88" s="11" t="s">
        <v>672</v>
      </c>
      <c r="K88" s="11" t="s">
        <v>673</v>
      </c>
      <c r="L88" s="11" t="s">
        <v>86</v>
      </c>
      <c r="M88" s="20" t="s">
        <v>87</v>
      </c>
      <c r="N88" s="20" t="s">
        <v>86</v>
      </c>
      <c r="O88" s="20" t="s">
        <v>86</v>
      </c>
      <c r="P88" s="21"/>
      <c r="Q88" s="12" t="s">
        <v>86</v>
      </c>
    </row>
    <row r="89" ht="68" customHeight="1" spans="1:17">
      <c r="A89" s="19" t="s">
        <v>674</v>
      </c>
      <c r="B89" s="11" t="s">
        <v>48</v>
      </c>
      <c r="C89" s="11" t="s">
        <v>675</v>
      </c>
      <c r="D89" s="11" t="s">
        <v>676</v>
      </c>
      <c r="E89" s="20" t="s">
        <v>36</v>
      </c>
      <c r="F89" s="20" t="s">
        <v>677</v>
      </c>
      <c r="G89" s="11" t="s">
        <v>678</v>
      </c>
      <c r="H89" s="11" t="s">
        <v>82</v>
      </c>
      <c r="I89" s="11" t="s">
        <v>679</v>
      </c>
      <c r="J89" s="11" t="s">
        <v>680</v>
      </c>
      <c r="K89" s="11" t="s">
        <v>681</v>
      </c>
      <c r="L89" s="11" t="s">
        <v>86</v>
      </c>
      <c r="M89" s="20" t="s">
        <v>87</v>
      </c>
      <c r="N89" s="20" t="s">
        <v>86</v>
      </c>
      <c r="O89" s="20" t="s">
        <v>86</v>
      </c>
      <c r="P89" s="21"/>
      <c r="Q89" s="12" t="s">
        <v>86</v>
      </c>
    </row>
    <row r="90" ht="68" customHeight="1" spans="1:17">
      <c r="A90" s="19" t="s">
        <v>682</v>
      </c>
      <c r="B90" s="11" t="s">
        <v>48</v>
      </c>
      <c r="C90" s="11" t="s">
        <v>683</v>
      </c>
      <c r="D90" s="11" t="s">
        <v>684</v>
      </c>
      <c r="E90" s="20" t="s">
        <v>34</v>
      </c>
      <c r="F90" s="20" t="s">
        <v>152</v>
      </c>
      <c r="G90" s="11" t="s">
        <v>685</v>
      </c>
      <c r="H90" s="11" t="s">
        <v>82</v>
      </c>
      <c r="I90" s="11" t="s">
        <v>686</v>
      </c>
      <c r="J90" s="11" t="s">
        <v>687</v>
      </c>
      <c r="K90" s="11" t="s">
        <v>688</v>
      </c>
      <c r="L90" s="11" t="s">
        <v>86</v>
      </c>
      <c r="M90" s="20" t="s">
        <v>87</v>
      </c>
      <c r="N90" s="20" t="s">
        <v>86</v>
      </c>
      <c r="O90" s="20" t="s">
        <v>86</v>
      </c>
      <c r="P90" s="21"/>
      <c r="Q90" s="12" t="s">
        <v>86</v>
      </c>
    </row>
    <row r="91" ht="68" customHeight="1" spans="1:17">
      <c r="A91" s="19" t="s">
        <v>689</v>
      </c>
      <c r="B91" s="11" t="s">
        <v>48</v>
      </c>
      <c r="C91" s="11" t="s">
        <v>690</v>
      </c>
      <c r="D91" s="11" t="s">
        <v>691</v>
      </c>
      <c r="E91" s="20" t="s">
        <v>34</v>
      </c>
      <c r="F91" s="20" t="s">
        <v>91</v>
      </c>
      <c r="G91" s="11" t="s">
        <v>692</v>
      </c>
      <c r="H91" s="11" t="s">
        <v>82</v>
      </c>
      <c r="I91" s="11" t="s">
        <v>693</v>
      </c>
      <c r="J91" s="11" t="s">
        <v>694</v>
      </c>
      <c r="K91" s="11" t="s">
        <v>695</v>
      </c>
      <c r="L91" s="11" t="s">
        <v>86</v>
      </c>
      <c r="M91" s="20" t="s">
        <v>87</v>
      </c>
      <c r="N91" s="20" t="s">
        <v>86</v>
      </c>
      <c r="O91" s="20" t="s">
        <v>86</v>
      </c>
      <c r="P91" s="21"/>
      <c r="Q91" s="12" t="s">
        <v>86</v>
      </c>
    </row>
    <row r="92" ht="68" customHeight="1" spans="1:17">
      <c r="A92" s="19" t="s">
        <v>696</v>
      </c>
      <c r="B92" s="11" t="s">
        <v>49</v>
      </c>
      <c r="C92" s="11" t="s">
        <v>697</v>
      </c>
      <c r="D92" s="11" t="s">
        <v>698</v>
      </c>
      <c r="E92" s="20" t="s">
        <v>34</v>
      </c>
      <c r="F92" s="20" t="s">
        <v>699</v>
      </c>
      <c r="G92" s="11" t="s">
        <v>700</v>
      </c>
      <c r="H92" s="11" t="s">
        <v>82</v>
      </c>
      <c r="I92" s="11" t="s">
        <v>701</v>
      </c>
      <c r="J92" s="11" t="s">
        <v>702</v>
      </c>
      <c r="K92" s="11" t="s">
        <v>703</v>
      </c>
      <c r="L92" s="11" t="s">
        <v>86</v>
      </c>
      <c r="M92" s="20" t="s">
        <v>87</v>
      </c>
      <c r="N92" s="20" t="s">
        <v>86</v>
      </c>
      <c r="O92" s="20" t="s">
        <v>86</v>
      </c>
      <c r="P92" s="21"/>
      <c r="Q92" s="12" t="s">
        <v>86</v>
      </c>
    </row>
    <row r="93" ht="68" customHeight="1" spans="1:17">
      <c r="A93" s="19" t="s">
        <v>704</v>
      </c>
      <c r="B93" s="11" t="s">
        <v>49</v>
      </c>
      <c r="C93" s="11" t="s">
        <v>705</v>
      </c>
      <c r="D93" s="11" t="s">
        <v>706</v>
      </c>
      <c r="E93" s="20" t="s">
        <v>34</v>
      </c>
      <c r="F93" s="20" t="s">
        <v>80</v>
      </c>
      <c r="G93" s="11" t="s">
        <v>707</v>
      </c>
      <c r="H93" s="11" t="s">
        <v>82</v>
      </c>
      <c r="I93" s="11" t="s">
        <v>708</v>
      </c>
      <c r="J93" s="11" t="s">
        <v>709</v>
      </c>
      <c r="K93" s="11" t="s">
        <v>710</v>
      </c>
      <c r="L93" s="11" t="s">
        <v>86</v>
      </c>
      <c r="M93" s="20" t="s">
        <v>87</v>
      </c>
      <c r="N93" s="20" t="s">
        <v>86</v>
      </c>
      <c r="O93" s="20" t="s">
        <v>86</v>
      </c>
      <c r="P93" s="21"/>
      <c r="Q93" s="12" t="s">
        <v>86</v>
      </c>
    </row>
    <row r="94" ht="68" customHeight="1" spans="1:17">
      <c r="A94" s="19" t="s">
        <v>711</v>
      </c>
      <c r="B94" s="11" t="s">
        <v>49</v>
      </c>
      <c r="C94" s="11" t="s">
        <v>712</v>
      </c>
      <c r="D94" s="11" t="s">
        <v>713</v>
      </c>
      <c r="E94" s="20" t="s">
        <v>36</v>
      </c>
      <c r="F94" s="20" t="s">
        <v>714</v>
      </c>
      <c r="G94" s="11" t="s">
        <v>715</v>
      </c>
      <c r="H94" s="11" t="s">
        <v>82</v>
      </c>
      <c r="I94" s="11" t="s">
        <v>716</v>
      </c>
      <c r="J94" s="11" t="s">
        <v>717</v>
      </c>
      <c r="K94" s="11" t="s">
        <v>718</v>
      </c>
      <c r="L94" s="11" t="s">
        <v>86</v>
      </c>
      <c r="M94" s="20" t="s">
        <v>87</v>
      </c>
      <c r="N94" s="20" t="s">
        <v>86</v>
      </c>
      <c r="O94" s="20" t="s">
        <v>86</v>
      </c>
      <c r="P94" s="21"/>
      <c r="Q94" s="12" t="s">
        <v>86</v>
      </c>
    </row>
    <row r="95" ht="68" customHeight="1" spans="1:17">
      <c r="A95" s="19" t="s">
        <v>719</v>
      </c>
      <c r="B95" s="11" t="s">
        <v>49</v>
      </c>
      <c r="C95" s="11" t="s">
        <v>720</v>
      </c>
      <c r="D95" s="11" t="s">
        <v>721</v>
      </c>
      <c r="E95" s="20" t="s">
        <v>34</v>
      </c>
      <c r="F95" s="20" t="s">
        <v>274</v>
      </c>
      <c r="G95" s="11" t="s">
        <v>722</v>
      </c>
      <c r="H95" s="11" t="s">
        <v>82</v>
      </c>
      <c r="I95" s="11" t="s">
        <v>723</v>
      </c>
      <c r="J95" s="11" t="s">
        <v>724</v>
      </c>
      <c r="K95" s="11" t="s">
        <v>725</v>
      </c>
      <c r="L95" s="11" t="s">
        <v>86</v>
      </c>
      <c r="M95" s="20" t="s">
        <v>87</v>
      </c>
      <c r="N95" s="20" t="s">
        <v>86</v>
      </c>
      <c r="O95" s="20" t="s">
        <v>86</v>
      </c>
      <c r="P95" s="21"/>
      <c r="Q95" s="12" t="s">
        <v>86</v>
      </c>
    </row>
    <row r="96" ht="68" customHeight="1" spans="1:17">
      <c r="A96" s="19" t="s">
        <v>726</v>
      </c>
      <c r="B96" s="11" t="s">
        <v>49</v>
      </c>
      <c r="C96" s="11" t="s">
        <v>727</v>
      </c>
      <c r="D96" s="11" t="s">
        <v>728</v>
      </c>
      <c r="E96" s="20" t="s">
        <v>34</v>
      </c>
      <c r="F96" s="20" t="s">
        <v>549</v>
      </c>
      <c r="G96" s="11" t="s">
        <v>729</v>
      </c>
      <c r="H96" s="11" t="s">
        <v>82</v>
      </c>
      <c r="I96" s="11" t="s">
        <v>730</v>
      </c>
      <c r="J96" s="11" t="s">
        <v>731</v>
      </c>
      <c r="K96" s="11" t="s">
        <v>732</v>
      </c>
      <c r="L96" s="11" t="s">
        <v>86</v>
      </c>
      <c r="M96" s="20" t="s">
        <v>87</v>
      </c>
      <c r="N96" s="20" t="s">
        <v>86</v>
      </c>
      <c r="O96" s="20" t="s">
        <v>86</v>
      </c>
      <c r="P96" s="21"/>
      <c r="Q96" s="12" t="s">
        <v>86</v>
      </c>
    </row>
    <row r="97" ht="68" customHeight="1" spans="1:17">
      <c r="A97" s="19" t="s">
        <v>733</v>
      </c>
      <c r="B97" s="11" t="s">
        <v>49</v>
      </c>
      <c r="C97" s="11" t="s">
        <v>734</v>
      </c>
      <c r="D97" s="11" t="s">
        <v>735</v>
      </c>
      <c r="E97" s="20" t="s">
        <v>34</v>
      </c>
      <c r="F97" s="20" t="s">
        <v>549</v>
      </c>
      <c r="G97" s="11" t="s">
        <v>736</v>
      </c>
      <c r="H97" s="11" t="s">
        <v>82</v>
      </c>
      <c r="I97" s="11" t="s">
        <v>737</v>
      </c>
      <c r="J97" s="11" t="s">
        <v>738</v>
      </c>
      <c r="K97" s="11" t="s">
        <v>739</v>
      </c>
      <c r="L97" s="11" t="s">
        <v>86</v>
      </c>
      <c r="M97" s="20" t="s">
        <v>87</v>
      </c>
      <c r="N97" s="20" t="s">
        <v>86</v>
      </c>
      <c r="O97" s="20" t="s">
        <v>86</v>
      </c>
      <c r="P97" s="21"/>
      <c r="Q97" s="12" t="s">
        <v>86</v>
      </c>
    </row>
    <row r="98" ht="68" customHeight="1" spans="1:17">
      <c r="A98" s="19" t="s">
        <v>740</v>
      </c>
      <c r="B98" s="11" t="s">
        <v>49</v>
      </c>
      <c r="C98" s="11" t="s">
        <v>741</v>
      </c>
      <c r="D98" s="11" t="s">
        <v>742</v>
      </c>
      <c r="E98" s="20" t="s">
        <v>34</v>
      </c>
      <c r="F98" s="20" t="s">
        <v>91</v>
      </c>
      <c r="G98" s="11" t="s">
        <v>743</v>
      </c>
      <c r="H98" s="11" t="s">
        <v>82</v>
      </c>
      <c r="I98" s="11" t="s">
        <v>744</v>
      </c>
      <c r="J98" s="11" t="s">
        <v>745</v>
      </c>
      <c r="K98" s="11" t="s">
        <v>746</v>
      </c>
      <c r="L98" s="11" t="s">
        <v>86</v>
      </c>
      <c r="M98" s="20" t="s">
        <v>87</v>
      </c>
      <c r="N98" s="20" t="s">
        <v>86</v>
      </c>
      <c r="O98" s="20" t="s">
        <v>86</v>
      </c>
      <c r="P98" s="21"/>
      <c r="Q98" s="12" t="s">
        <v>86</v>
      </c>
    </row>
    <row r="99" ht="68" customHeight="1" spans="1:17">
      <c r="A99" s="19" t="s">
        <v>747</v>
      </c>
      <c r="B99" s="11" t="s">
        <v>49</v>
      </c>
      <c r="C99" s="11" t="s">
        <v>748</v>
      </c>
      <c r="D99" s="11" t="s">
        <v>749</v>
      </c>
      <c r="E99" s="20" t="s">
        <v>34</v>
      </c>
      <c r="F99" s="20" t="s">
        <v>152</v>
      </c>
      <c r="G99" s="11" t="s">
        <v>750</v>
      </c>
      <c r="H99" s="11" t="s">
        <v>82</v>
      </c>
      <c r="I99" s="11" t="s">
        <v>751</v>
      </c>
      <c r="J99" s="11" t="s">
        <v>752</v>
      </c>
      <c r="K99" s="11" t="s">
        <v>753</v>
      </c>
      <c r="L99" s="11" t="s">
        <v>86</v>
      </c>
      <c r="M99" s="20" t="s">
        <v>87</v>
      </c>
      <c r="N99" s="20" t="s">
        <v>86</v>
      </c>
      <c r="O99" s="20" t="s">
        <v>86</v>
      </c>
      <c r="P99" s="21"/>
      <c r="Q99" s="12" t="s">
        <v>86</v>
      </c>
    </row>
    <row r="100" ht="68" customHeight="1" spans="1:17">
      <c r="A100" s="19" t="s">
        <v>754</v>
      </c>
      <c r="B100" s="11" t="s">
        <v>49</v>
      </c>
      <c r="C100" s="11" t="s">
        <v>755</v>
      </c>
      <c r="D100" s="11" t="s">
        <v>756</v>
      </c>
      <c r="E100" s="20" t="s">
        <v>34</v>
      </c>
      <c r="F100" s="20" t="s">
        <v>757</v>
      </c>
      <c r="G100" s="11" t="s">
        <v>758</v>
      </c>
      <c r="H100" s="11" t="s">
        <v>82</v>
      </c>
      <c r="I100" s="11" t="s">
        <v>759</v>
      </c>
      <c r="J100" s="11" t="s">
        <v>760</v>
      </c>
      <c r="K100" s="11" t="s">
        <v>761</v>
      </c>
      <c r="L100" s="11" t="s">
        <v>86</v>
      </c>
      <c r="M100" s="20" t="s">
        <v>87</v>
      </c>
      <c r="N100" s="20" t="s">
        <v>86</v>
      </c>
      <c r="O100" s="20" t="s">
        <v>86</v>
      </c>
      <c r="P100" s="21"/>
      <c r="Q100" s="12" t="s">
        <v>86</v>
      </c>
    </row>
    <row r="101" ht="68" customHeight="1" spans="1:17">
      <c r="A101" s="19" t="s">
        <v>762</v>
      </c>
      <c r="B101" s="11" t="s">
        <v>49</v>
      </c>
      <c r="C101" s="11" t="s">
        <v>763</v>
      </c>
      <c r="D101" s="11" t="s">
        <v>764</v>
      </c>
      <c r="E101" s="20" t="s">
        <v>34</v>
      </c>
      <c r="F101" s="20" t="s">
        <v>520</v>
      </c>
      <c r="G101" s="11" t="s">
        <v>765</v>
      </c>
      <c r="H101" s="11" t="s">
        <v>82</v>
      </c>
      <c r="I101" s="11" t="s">
        <v>766</v>
      </c>
      <c r="J101" s="11" t="s">
        <v>767</v>
      </c>
      <c r="K101" s="11" t="s">
        <v>768</v>
      </c>
      <c r="L101" s="11" t="s">
        <v>86</v>
      </c>
      <c r="M101" s="20" t="s">
        <v>87</v>
      </c>
      <c r="N101" s="20" t="s">
        <v>86</v>
      </c>
      <c r="O101" s="20" t="s">
        <v>86</v>
      </c>
      <c r="P101" s="21"/>
      <c r="Q101" s="12" t="s">
        <v>86</v>
      </c>
    </row>
    <row r="102" ht="68" customHeight="1" spans="1:17">
      <c r="A102" s="19" t="s">
        <v>769</v>
      </c>
      <c r="B102" s="11" t="s">
        <v>49</v>
      </c>
      <c r="C102" s="11" t="s">
        <v>770</v>
      </c>
      <c r="D102" s="11" t="s">
        <v>771</v>
      </c>
      <c r="E102" s="20" t="s">
        <v>36</v>
      </c>
      <c r="F102" s="20" t="s">
        <v>772</v>
      </c>
      <c r="G102" s="11" t="s">
        <v>773</v>
      </c>
      <c r="H102" s="11" t="s">
        <v>82</v>
      </c>
      <c r="I102" s="11" t="s">
        <v>774</v>
      </c>
      <c r="J102" s="11" t="s">
        <v>775</v>
      </c>
      <c r="K102" s="11" t="s">
        <v>776</v>
      </c>
      <c r="L102" s="11" t="s">
        <v>86</v>
      </c>
      <c r="M102" s="20" t="s">
        <v>87</v>
      </c>
      <c r="N102" s="20" t="s">
        <v>86</v>
      </c>
      <c r="O102" s="20" t="s">
        <v>86</v>
      </c>
      <c r="P102" s="21"/>
      <c r="Q102" s="12" t="s">
        <v>86</v>
      </c>
    </row>
    <row r="103" ht="68" customHeight="1" spans="1:17">
      <c r="A103" s="19" t="s">
        <v>777</v>
      </c>
      <c r="B103" s="11" t="s">
        <v>49</v>
      </c>
      <c r="C103" s="11" t="s">
        <v>778</v>
      </c>
      <c r="D103" s="11" t="s">
        <v>779</v>
      </c>
      <c r="E103" s="20" t="s">
        <v>34</v>
      </c>
      <c r="F103" s="20" t="s">
        <v>520</v>
      </c>
      <c r="G103" s="11" t="s">
        <v>780</v>
      </c>
      <c r="H103" s="11" t="s">
        <v>82</v>
      </c>
      <c r="I103" s="11" t="s">
        <v>781</v>
      </c>
      <c r="J103" s="11" t="s">
        <v>782</v>
      </c>
      <c r="K103" s="11" t="s">
        <v>783</v>
      </c>
      <c r="L103" s="11" t="s">
        <v>86</v>
      </c>
      <c r="M103" s="20" t="s">
        <v>87</v>
      </c>
      <c r="N103" s="20" t="s">
        <v>86</v>
      </c>
      <c r="O103" s="20" t="s">
        <v>86</v>
      </c>
      <c r="P103" s="21"/>
      <c r="Q103" s="12" t="s">
        <v>86</v>
      </c>
    </row>
    <row r="104" ht="68" customHeight="1" spans="1:17">
      <c r="A104" s="19" t="s">
        <v>784</v>
      </c>
      <c r="B104" s="11" t="s">
        <v>49</v>
      </c>
      <c r="C104" s="11" t="s">
        <v>785</v>
      </c>
      <c r="D104" s="11" t="s">
        <v>786</v>
      </c>
      <c r="E104" s="20" t="s">
        <v>36</v>
      </c>
      <c r="F104" s="20" t="s">
        <v>520</v>
      </c>
      <c r="G104" s="11" t="s">
        <v>780</v>
      </c>
      <c r="H104" s="11" t="s">
        <v>82</v>
      </c>
      <c r="I104" s="11" t="s">
        <v>787</v>
      </c>
      <c r="J104" s="11" t="s">
        <v>788</v>
      </c>
      <c r="K104" s="11" t="s">
        <v>789</v>
      </c>
      <c r="L104" s="11" t="s">
        <v>86</v>
      </c>
      <c r="M104" s="20" t="s">
        <v>87</v>
      </c>
      <c r="N104" s="20" t="s">
        <v>86</v>
      </c>
      <c r="O104" s="20" t="s">
        <v>86</v>
      </c>
      <c r="P104" s="21"/>
      <c r="Q104" s="12" t="s">
        <v>86</v>
      </c>
    </row>
    <row r="105" ht="68" customHeight="1" spans="1:17">
      <c r="A105" s="19" t="s">
        <v>790</v>
      </c>
      <c r="B105" s="11" t="s">
        <v>49</v>
      </c>
      <c r="C105" s="11" t="s">
        <v>791</v>
      </c>
      <c r="D105" s="11" t="s">
        <v>792</v>
      </c>
      <c r="E105" s="20" t="s">
        <v>36</v>
      </c>
      <c r="F105" s="20" t="s">
        <v>520</v>
      </c>
      <c r="G105" s="11" t="s">
        <v>793</v>
      </c>
      <c r="H105" s="11" t="s">
        <v>82</v>
      </c>
      <c r="I105" s="11" t="s">
        <v>794</v>
      </c>
      <c r="J105" s="11" t="s">
        <v>795</v>
      </c>
      <c r="K105" s="11" t="s">
        <v>796</v>
      </c>
      <c r="L105" s="11" t="s">
        <v>86</v>
      </c>
      <c r="M105" s="20" t="s">
        <v>87</v>
      </c>
      <c r="N105" s="20" t="s">
        <v>86</v>
      </c>
      <c r="O105" s="20" t="s">
        <v>86</v>
      </c>
      <c r="P105" s="21"/>
      <c r="Q105" s="12" t="s">
        <v>86</v>
      </c>
    </row>
    <row r="106" ht="68" customHeight="1" spans="1:17">
      <c r="A106" s="19" t="s">
        <v>797</v>
      </c>
      <c r="B106" s="11" t="s">
        <v>49</v>
      </c>
      <c r="C106" s="11" t="s">
        <v>798</v>
      </c>
      <c r="D106" s="11" t="s">
        <v>799</v>
      </c>
      <c r="E106" s="20" t="s">
        <v>34</v>
      </c>
      <c r="F106" s="20" t="s">
        <v>520</v>
      </c>
      <c r="G106" s="11" t="s">
        <v>800</v>
      </c>
      <c r="H106" s="11" t="s">
        <v>82</v>
      </c>
      <c r="I106" s="11" t="s">
        <v>801</v>
      </c>
      <c r="J106" s="11" t="s">
        <v>802</v>
      </c>
      <c r="K106" s="11" t="s">
        <v>803</v>
      </c>
      <c r="L106" s="11" t="s">
        <v>86</v>
      </c>
      <c r="M106" s="20" t="s">
        <v>87</v>
      </c>
      <c r="N106" s="20" t="s">
        <v>86</v>
      </c>
      <c r="O106" s="20" t="s">
        <v>86</v>
      </c>
      <c r="P106" s="21"/>
      <c r="Q106" s="12" t="s">
        <v>86</v>
      </c>
    </row>
    <row r="107" ht="68" customHeight="1" spans="1:17">
      <c r="A107" s="19" t="s">
        <v>804</v>
      </c>
      <c r="B107" s="11" t="s">
        <v>49</v>
      </c>
      <c r="C107" s="11" t="s">
        <v>805</v>
      </c>
      <c r="D107" s="11" t="s">
        <v>806</v>
      </c>
      <c r="E107" s="20" t="s">
        <v>34</v>
      </c>
      <c r="F107" s="20" t="s">
        <v>520</v>
      </c>
      <c r="G107" s="11" t="s">
        <v>807</v>
      </c>
      <c r="H107" s="11" t="s">
        <v>82</v>
      </c>
      <c r="I107" s="11" t="s">
        <v>808</v>
      </c>
      <c r="J107" s="11" t="s">
        <v>809</v>
      </c>
      <c r="K107" s="11" t="s">
        <v>810</v>
      </c>
      <c r="L107" s="11" t="s">
        <v>86</v>
      </c>
      <c r="M107" s="20" t="s">
        <v>87</v>
      </c>
      <c r="N107" s="20" t="s">
        <v>86</v>
      </c>
      <c r="O107" s="20" t="s">
        <v>86</v>
      </c>
      <c r="P107" s="21"/>
      <c r="Q107" s="12" t="s">
        <v>86</v>
      </c>
    </row>
    <row r="108" ht="68" customHeight="1" spans="1:17">
      <c r="A108" s="19" t="s">
        <v>811</v>
      </c>
      <c r="B108" s="11" t="s">
        <v>49</v>
      </c>
      <c r="C108" s="11" t="s">
        <v>812</v>
      </c>
      <c r="D108" s="11" t="s">
        <v>813</v>
      </c>
      <c r="E108" s="20" t="s">
        <v>34</v>
      </c>
      <c r="F108" s="20" t="s">
        <v>520</v>
      </c>
      <c r="G108" s="11" t="s">
        <v>814</v>
      </c>
      <c r="H108" s="11" t="s">
        <v>82</v>
      </c>
      <c r="I108" s="11" t="s">
        <v>815</v>
      </c>
      <c r="J108" s="11" t="s">
        <v>816</v>
      </c>
      <c r="K108" s="11" t="s">
        <v>817</v>
      </c>
      <c r="L108" s="11" t="s">
        <v>86</v>
      </c>
      <c r="M108" s="20" t="s">
        <v>87</v>
      </c>
      <c r="N108" s="20" t="s">
        <v>86</v>
      </c>
      <c r="O108" s="20" t="s">
        <v>86</v>
      </c>
      <c r="P108" s="21"/>
      <c r="Q108" s="12" t="s">
        <v>86</v>
      </c>
    </row>
    <row r="109" ht="68" customHeight="1" spans="1:17">
      <c r="A109" s="19" t="s">
        <v>818</v>
      </c>
      <c r="B109" s="11" t="s">
        <v>49</v>
      </c>
      <c r="C109" s="11" t="s">
        <v>819</v>
      </c>
      <c r="D109" s="11" t="s">
        <v>820</v>
      </c>
      <c r="E109" s="20" t="s">
        <v>34</v>
      </c>
      <c r="F109" s="20" t="s">
        <v>821</v>
      </c>
      <c r="G109" s="11" t="s">
        <v>822</v>
      </c>
      <c r="H109" s="11" t="s">
        <v>82</v>
      </c>
      <c r="I109" s="11" t="s">
        <v>823</v>
      </c>
      <c r="J109" s="11" t="s">
        <v>824</v>
      </c>
      <c r="K109" s="11" t="s">
        <v>825</v>
      </c>
      <c r="L109" s="11" t="s">
        <v>86</v>
      </c>
      <c r="M109" s="20" t="s">
        <v>87</v>
      </c>
      <c r="N109" s="20" t="s">
        <v>86</v>
      </c>
      <c r="O109" s="20" t="s">
        <v>86</v>
      </c>
      <c r="P109" s="21"/>
      <c r="Q109" s="12" t="s">
        <v>86</v>
      </c>
    </row>
    <row r="110" ht="68" customHeight="1" spans="1:17">
      <c r="A110" s="19" t="s">
        <v>826</v>
      </c>
      <c r="B110" s="11" t="s">
        <v>49</v>
      </c>
      <c r="C110" s="11" t="s">
        <v>827</v>
      </c>
      <c r="D110" s="11" t="s">
        <v>828</v>
      </c>
      <c r="E110" s="20" t="s">
        <v>34</v>
      </c>
      <c r="F110" s="20" t="s">
        <v>549</v>
      </c>
      <c r="G110" s="11" t="s">
        <v>829</v>
      </c>
      <c r="H110" s="11" t="s">
        <v>82</v>
      </c>
      <c r="I110" s="11" t="s">
        <v>830</v>
      </c>
      <c r="J110" s="11" t="s">
        <v>831</v>
      </c>
      <c r="K110" s="11" t="s">
        <v>832</v>
      </c>
      <c r="L110" s="11" t="s">
        <v>86</v>
      </c>
      <c r="M110" s="20" t="s">
        <v>87</v>
      </c>
      <c r="N110" s="20" t="s">
        <v>86</v>
      </c>
      <c r="O110" s="20" t="s">
        <v>86</v>
      </c>
      <c r="P110" s="21"/>
      <c r="Q110" s="12" t="s">
        <v>86</v>
      </c>
    </row>
    <row r="111" ht="68" customHeight="1" spans="1:17">
      <c r="A111" s="19" t="s">
        <v>833</v>
      </c>
      <c r="B111" s="11" t="s">
        <v>49</v>
      </c>
      <c r="C111" s="11" t="s">
        <v>834</v>
      </c>
      <c r="D111" s="11" t="s">
        <v>835</v>
      </c>
      <c r="E111" s="20" t="s">
        <v>34</v>
      </c>
      <c r="F111" s="20" t="s">
        <v>80</v>
      </c>
      <c r="G111" s="11" t="s">
        <v>836</v>
      </c>
      <c r="H111" s="11" t="s">
        <v>82</v>
      </c>
      <c r="I111" s="11" t="s">
        <v>837</v>
      </c>
      <c r="J111" s="11" t="s">
        <v>838</v>
      </c>
      <c r="K111" s="11" t="s">
        <v>839</v>
      </c>
      <c r="L111" s="11" t="s">
        <v>86</v>
      </c>
      <c r="M111" s="20" t="s">
        <v>87</v>
      </c>
      <c r="N111" s="20" t="s">
        <v>86</v>
      </c>
      <c r="O111" s="20" t="s">
        <v>86</v>
      </c>
      <c r="P111" s="21"/>
      <c r="Q111" s="12" t="s">
        <v>86</v>
      </c>
    </row>
    <row r="112" ht="68" customHeight="1" spans="1:17">
      <c r="A112" s="19" t="s">
        <v>840</v>
      </c>
      <c r="B112" s="11" t="s">
        <v>49</v>
      </c>
      <c r="C112" s="11" t="s">
        <v>841</v>
      </c>
      <c r="D112" s="11" t="s">
        <v>842</v>
      </c>
      <c r="E112" s="20" t="s">
        <v>34</v>
      </c>
      <c r="F112" s="20" t="s">
        <v>80</v>
      </c>
      <c r="G112" s="11" t="s">
        <v>843</v>
      </c>
      <c r="H112" s="11" t="s">
        <v>82</v>
      </c>
      <c r="I112" s="11" t="s">
        <v>844</v>
      </c>
      <c r="J112" s="11" t="s">
        <v>845</v>
      </c>
      <c r="K112" s="11" t="s">
        <v>846</v>
      </c>
      <c r="L112" s="11" t="s">
        <v>86</v>
      </c>
      <c r="M112" s="20" t="s">
        <v>87</v>
      </c>
      <c r="N112" s="20" t="s">
        <v>86</v>
      </c>
      <c r="O112" s="20" t="s">
        <v>86</v>
      </c>
      <c r="P112" s="21"/>
      <c r="Q112" s="12" t="s">
        <v>86</v>
      </c>
    </row>
    <row r="113" ht="68" customHeight="1" spans="1:17">
      <c r="A113" s="19" t="s">
        <v>847</v>
      </c>
      <c r="B113" s="11" t="s">
        <v>49</v>
      </c>
      <c r="C113" s="11" t="s">
        <v>848</v>
      </c>
      <c r="D113" s="11" t="s">
        <v>849</v>
      </c>
      <c r="E113" s="20" t="s">
        <v>34</v>
      </c>
      <c r="F113" s="20" t="s">
        <v>549</v>
      </c>
      <c r="G113" s="11" t="s">
        <v>843</v>
      </c>
      <c r="H113" s="11" t="s">
        <v>82</v>
      </c>
      <c r="I113" s="11" t="s">
        <v>850</v>
      </c>
      <c r="J113" s="11" t="s">
        <v>851</v>
      </c>
      <c r="K113" s="11" t="s">
        <v>852</v>
      </c>
      <c r="L113" s="11" t="s">
        <v>86</v>
      </c>
      <c r="M113" s="20" t="s">
        <v>87</v>
      </c>
      <c r="N113" s="20" t="s">
        <v>86</v>
      </c>
      <c r="O113" s="20" t="s">
        <v>86</v>
      </c>
      <c r="P113" s="21"/>
      <c r="Q113" s="12" t="s">
        <v>86</v>
      </c>
    </row>
    <row r="114" ht="68" customHeight="1" spans="1:17">
      <c r="A114" s="19" t="s">
        <v>853</v>
      </c>
      <c r="B114" s="11" t="s">
        <v>49</v>
      </c>
      <c r="C114" s="11" t="s">
        <v>854</v>
      </c>
      <c r="D114" s="11" t="s">
        <v>855</v>
      </c>
      <c r="E114" s="20" t="s">
        <v>36</v>
      </c>
      <c r="F114" s="20" t="s">
        <v>520</v>
      </c>
      <c r="G114" s="11" t="s">
        <v>856</v>
      </c>
      <c r="H114" s="11" t="s">
        <v>82</v>
      </c>
      <c r="I114" s="11" t="s">
        <v>857</v>
      </c>
      <c r="J114" s="11" t="s">
        <v>858</v>
      </c>
      <c r="K114" s="11" t="s">
        <v>859</v>
      </c>
      <c r="L114" s="11" t="s">
        <v>86</v>
      </c>
      <c r="M114" s="20" t="s">
        <v>87</v>
      </c>
      <c r="N114" s="20" t="s">
        <v>86</v>
      </c>
      <c r="O114" s="20" t="s">
        <v>86</v>
      </c>
      <c r="P114" s="21"/>
      <c r="Q114" s="12" t="s">
        <v>86</v>
      </c>
    </row>
    <row r="115" ht="68" customHeight="1" spans="1:17">
      <c r="A115" s="19" t="s">
        <v>860</v>
      </c>
      <c r="B115" s="11" t="s">
        <v>50</v>
      </c>
      <c r="C115" s="11" t="s">
        <v>861</v>
      </c>
      <c r="D115" s="11" t="s">
        <v>862</v>
      </c>
      <c r="E115" s="20" t="s">
        <v>34</v>
      </c>
      <c r="F115" s="20" t="s">
        <v>274</v>
      </c>
      <c r="G115" s="11" t="s">
        <v>863</v>
      </c>
      <c r="H115" s="11" t="s">
        <v>82</v>
      </c>
      <c r="I115" s="11" t="s">
        <v>864</v>
      </c>
      <c r="J115" s="11" t="s">
        <v>865</v>
      </c>
      <c r="K115" s="11" t="s">
        <v>866</v>
      </c>
      <c r="L115" s="11" t="s">
        <v>86</v>
      </c>
      <c r="M115" s="20" t="s">
        <v>87</v>
      </c>
      <c r="N115" s="20" t="s">
        <v>86</v>
      </c>
      <c r="O115" s="20" t="s">
        <v>86</v>
      </c>
      <c r="P115" s="21"/>
      <c r="Q115" s="12" t="s">
        <v>86</v>
      </c>
    </row>
    <row r="116" ht="68" customHeight="1" spans="1:17">
      <c r="A116" s="19" t="s">
        <v>867</v>
      </c>
      <c r="B116" s="11" t="s">
        <v>50</v>
      </c>
      <c r="C116" s="11" t="s">
        <v>868</v>
      </c>
      <c r="D116" s="11" t="s">
        <v>869</v>
      </c>
      <c r="E116" s="20" t="s">
        <v>34</v>
      </c>
      <c r="F116" s="20" t="s">
        <v>274</v>
      </c>
      <c r="G116" s="11" t="s">
        <v>870</v>
      </c>
      <c r="H116" s="11" t="s">
        <v>82</v>
      </c>
      <c r="I116" s="11" t="s">
        <v>871</v>
      </c>
      <c r="J116" s="11" t="s">
        <v>872</v>
      </c>
      <c r="K116" s="11" t="s">
        <v>873</v>
      </c>
      <c r="L116" s="11" t="s">
        <v>86</v>
      </c>
      <c r="M116" s="20" t="s">
        <v>87</v>
      </c>
      <c r="N116" s="20" t="s">
        <v>86</v>
      </c>
      <c r="O116" s="20" t="s">
        <v>86</v>
      </c>
      <c r="P116" s="21"/>
      <c r="Q116" s="12" t="s">
        <v>86</v>
      </c>
    </row>
    <row r="117" ht="68" customHeight="1" spans="1:17">
      <c r="A117" s="19" t="s">
        <v>874</v>
      </c>
      <c r="B117" s="11" t="s">
        <v>50</v>
      </c>
      <c r="C117" s="11" t="s">
        <v>875</v>
      </c>
      <c r="D117" s="11" t="s">
        <v>876</v>
      </c>
      <c r="E117" s="20" t="s">
        <v>36</v>
      </c>
      <c r="F117" s="20" t="s">
        <v>442</v>
      </c>
      <c r="G117" s="11" t="s">
        <v>252</v>
      </c>
      <c r="H117" s="11" t="s">
        <v>82</v>
      </c>
      <c r="I117" s="11" t="s">
        <v>877</v>
      </c>
      <c r="J117" s="11" t="s">
        <v>878</v>
      </c>
      <c r="K117" s="11" t="s">
        <v>879</v>
      </c>
      <c r="L117" s="11" t="s">
        <v>86</v>
      </c>
      <c r="M117" s="20" t="s">
        <v>87</v>
      </c>
      <c r="N117" s="20" t="s">
        <v>86</v>
      </c>
      <c r="O117" s="20" t="s">
        <v>86</v>
      </c>
      <c r="P117" s="21"/>
      <c r="Q117" s="12" t="s">
        <v>86</v>
      </c>
    </row>
    <row r="118" ht="68" customHeight="1" spans="1:17">
      <c r="A118" s="19" t="s">
        <v>880</v>
      </c>
      <c r="B118" s="11" t="s">
        <v>50</v>
      </c>
      <c r="C118" s="11" t="s">
        <v>881</v>
      </c>
      <c r="D118" s="11" t="s">
        <v>882</v>
      </c>
      <c r="E118" s="20" t="s">
        <v>36</v>
      </c>
      <c r="F118" s="20" t="s">
        <v>274</v>
      </c>
      <c r="G118" s="11" t="s">
        <v>883</v>
      </c>
      <c r="H118" s="11" t="s">
        <v>82</v>
      </c>
      <c r="I118" s="11" t="s">
        <v>884</v>
      </c>
      <c r="J118" s="11" t="s">
        <v>885</v>
      </c>
      <c r="K118" s="11" t="s">
        <v>886</v>
      </c>
      <c r="L118" s="11" t="s">
        <v>86</v>
      </c>
      <c r="M118" s="20" t="s">
        <v>87</v>
      </c>
      <c r="N118" s="20" t="s">
        <v>86</v>
      </c>
      <c r="O118" s="20" t="s">
        <v>86</v>
      </c>
      <c r="P118" s="21"/>
      <c r="Q118" s="12" t="s">
        <v>86</v>
      </c>
    </row>
    <row r="119" ht="68" customHeight="1" spans="1:17">
      <c r="A119" s="19" t="s">
        <v>887</v>
      </c>
      <c r="B119" s="11" t="s">
        <v>50</v>
      </c>
      <c r="C119" s="11" t="s">
        <v>888</v>
      </c>
      <c r="D119" s="11" t="s">
        <v>889</v>
      </c>
      <c r="E119" s="20" t="s">
        <v>34</v>
      </c>
      <c r="F119" s="20" t="s">
        <v>274</v>
      </c>
      <c r="G119" s="11" t="s">
        <v>890</v>
      </c>
      <c r="H119" s="11" t="s">
        <v>82</v>
      </c>
      <c r="I119" s="11" t="s">
        <v>891</v>
      </c>
      <c r="J119" s="11" t="s">
        <v>892</v>
      </c>
      <c r="K119" s="11" t="s">
        <v>893</v>
      </c>
      <c r="L119" s="11" t="s">
        <v>86</v>
      </c>
      <c r="M119" s="20" t="s">
        <v>87</v>
      </c>
      <c r="N119" s="20" t="s">
        <v>86</v>
      </c>
      <c r="O119" s="20" t="s">
        <v>86</v>
      </c>
      <c r="P119" s="21"/>
      <c r="Q119" s="12" t="s">
        <v>86</v>
      </c>
    </row>
    <row r="120" ht="68" customHeight="1" spans="1:17">
      <c r="A120" s="19" t="s">
        <v>894</v>
      </c>
      <c r="B120" s="11" t="s">
        <v>50</v>
      </c>
      <c r="C120" s="11" t="s">
        <v>895</v>
      </c>
      <c r="D120" s="11" t="s">
        <v>896</v>
      </c>
      <c r="E120" s="20" t="s">
        <v>34</v>
      </c>
      <c r="F120" s="20" t="s">
        <v>152</v>
      </c>
      <c r="G120" s="11" t="s">
        <v>897</v>
      </c>
      <c r="H120" s="11" t="s">
        <v>82</v>
      </c>
      <c r="I120" s="11" t="s">
        <v>898</v>
      </c>
      <c r="J120" s="11" t="s">
        <v>899</v>
      </c>
      <c r="K120" s="11" t="s">
        <v>900</v>
      </c>
      <c r="L120" s="11" t="s">
        <v>86</v>
      </c>
      <c r="M120" s="20" t="s">
        <v>87</v>
      </c>
      <c r="N120" s="20" t="s">
        <v>86</v>
      </c>
      <c r="O120" s="20" t="s">
        <v>86</v>
      </c>
      <c r="P120" s="21"/>
      <c r="Q120" s="12" t="s">
        <v>86</v>
      </c>
    </row>
    <row r="121" ht="68" customHeight="1" spans="1:17">
      <c r="A121" s="19" t="s">
        <v>901</v>
      </c>
      <c r="B121" s="11" t="s">
        <v>51</v>
      </c>
      <c r="C121" s="11" t="s">
        <v>902</v>
      </c>
      <c r="D121" s="11" t="s">
        <v>903</v>
      </c>
      <c r="E121" s="20" t="s">
        <v>34</v>
      </c>
      <c r="F121" s="20" t="s">
        <v>549</v>
      </c>
      <c r="G121" s="11" t="s">
        <v>904</v>
      </c>
      <c r="H121" s="11" t="s">
        <v>82</v>
      </c>
      <c r="I121" s="11" t="s">
        <v>905</v>
      </c>
      <c r="J121" s="11" t="s">
        <v>906</v>
      </c>
      <c r="K121" s="11" t="s">
        <v>907</v>
      </c>
      <c r="L121" s="11" t="s">
        <v>86</v>
      </c>
      <c r="M121" s="20" t="s">
        <v>87</v>
      </c>
      <c r="N121" s="20" t="s">
        <v>86</v>
      </c>
      <c r="O121" s="20" t="s">
        <v>86</v>
      </c>
      <c r="P121" s="21"/>
      <c r="Q121" s="12" t="s">
        <v>86</v>
      </c>
    </row>
    <row r="122" ht="68" customHeight="1" spans="1:17">
      <c r="A122" s="19" t="s">
        <v>908</v>
      </c>
      <c r="B122" s="11" t="s">
        <v>51</v>
      </c>
      <c r="C122" s="11" t="s">
        <v>909</v>
      </c>
      <c r="D122" s="11" t="s">
        <v>910</v>
      </c>
      <c r="E122" s="20" t="s">
        <v>34</v>
      </c>
      <c r="F122" s="20" t="s">
        <v>549</v>
      </c>
      <c r="G122" s="11" t="s">
        <v>911</v>
      </c>
      <c r="H122" s="11" t="s">
        <v>82</v>
      </c>
      <c r="I122" s="11" t="s">
        <v>912</v>
      </c>
      <c r="J122" s="11" t="s">
        <v>913</v>
      </c>
      <c r="K122" s="11" t="s">
        <v>914</v>
      </c>
      <c r="L122" s="11" t="s">
        <v>86</v>
      </c>
      <c r="M122" s="20" t="s">
        <v>87</v>
      </c>
      <c r="N122" s="20" t="s">
        <v>86</v>
      </c>
      <c r="O122" s="20" t="s">
        <v>86</v>
      </c>
      <c r="P122" s="21"/>
      <c r="Q122" s="12" t="s">
        <v>86</v>
      </c>
    </row>
    <row r="123" ht="68" customHeight="1" spans="1:17">
      <c r="A123" s="19" t="s">
        <v>915</v>
      </c>
      <c r="B123" s="11" t="s">
        <v>51</v>
      </c>
      <c r="C123" s="11" t="s">
        <v>916</v>
      </c>
      <c r="D123" s="11" t="s">
        <v>917</v>
      </c>
      <c r="E123" s="20" t="s">
        <v>34</v>
      </c>
      <c r="F123" s="20" t="s">
        <v>549</v>
      </c>
      <c r="G123" s="11" t="s">
        <v>918</v>
      </c>
      <c r="H123" s="11" t="s">
        <v>82</v>
      </c>
      <c r="I123" s="11" t="s">
        <v>919</v>
      </c>
      <c r="J123" s="11" t="s">
        <v>920</v>
      </c>
      <c r="K123" s="11" t="s">
        <v>921</v>
      </c>
      <c r="L123" s="11" t="s">
        <v>86</v>
      </c>
      <c r="M123" s="20" t="s">
        <v>87</v>
      </c>
      <c r="N123" s="20" t="s">
        <v>86</v>
      </c>
      <c r="O123" s="20" t="s">
        <v>86</v>
      </c>
      <c r="P123" s="21"/>
      <c r="Q123" s="12" t="s">
        <v>86</v>
      </c>
    </row>
    <row r="124" ht="68" customHeight="1" spans="1:17">
      <c r="A124" s="19" t="s">
        <v>922</v>
      </c>
      <c r="B124" s="11" t="s">
        <v>51</v>
      </c>
      <c r="C124" s="11" t="s">
        <v>923</v>
      </c>
      <c r="D124" s="11" t="s">
        <v>924</v>
      </c>
      <c r="E124" s="20" t="s">
        <v>36</v>
      </c>
      <c r="F124" s="20" t="s">
        <v>549</v>
      </c>
      <c r="G124" s="11" t="s">
        <v>925</v>
      </c>
      <c r="H124" s="11" t="s">
        <v>82</v>
      </c>
      <c r="I124" s="11" t="s">
        <v>926</v>
      </c>
      <c r="J124" s="11" t="s">
        <v>927</v>
      </c>
      <c r="K124" s="11" t="s">
        <v>928</v>
      </c>
      <c r="L124" s="11" t="s">
        <v>86</v>
      </c>
      <c r="M124" s="20" t="s">
        <v>87</v>
      </c>
      <c r="N124" s="20" t="s">
        <v>86</v>
      </c>
      <c r="O124" s="20" t="s">
        <v>86</v>
      </c>
      <c r="P124" s="21"/>
      <c r="Q124" s="12" t="s">
        <v>86</v>
      </c>
    </row>
    <row r="125" ht="68" customHeight="1" spans="1:17">
      <c r="A125" s="19" t="s">
        <v>929</v>
      </c>
      <c r="B125" s="11" t="s">
        <v>51</v>
      </c>
      <c r="C125" s="11" t="s">
        <v>930</v>
      </c>
      <c r="D125" s="11" t="s">
        <v>931</v>
      </c>
      <c r="E125" s="20" t="s">
        <v>34</v>
      </c>
      <c r="F125" s="20" t="s">
        <v>932</v>
      </c>
      <c r="G125" s="11" t="s">
        <v>933</v>
      </c>
      <c r="H125" s="11" t="s">
        <v>82</v>
      </c>
      <c r="I125" s="11" t="s">
        <v>934</v>
      </c>
      <c r="J125" s="11" t="s">
        <v>935</v>
      </c>
      <c r="K125" s="11" t="s">
        <v>936</v>
      </c>
      <c r="L125" s="11" t="s">
        <v>86</v>
      </c>
      <c r="M125" s="20" t="s">
        <v>87</v>
      </c>
      <c r="N125" s="20" t="s">
        <v>86</v>
      </c>
      <c r="O125" s="20" t="s">
        <v>86</v>
      </c>
      <c r="P125" s="21"/>
      <c r="Q125" s="12" t="s">
        <v>86</v>
      </c>
    </row>
    <row r="126" ht="68" customHeight="1" spans="1:17">
      <c r="A126" s="19" t="s">
        <v>937</v>
      </c>
      <c r="B126" s="11" t="s">
        <v>51</v>
      </c>
      <c r="C126" s="11" t="s">
        <v>938</v>
      </c>
      <c r="D126" s="11" t="s">
        <v>939</v>
      </c>
      <c r="E126" s="20" t="s">
        <v>34</v>
      </c>
      <c r="F126" s="20" t="s">
        <v>491</v>
      </c>
      <c r="G126" s="11" t="s">
        <v>940</v>
      </c>
      <c r="H126" s="11" t="s">
        <v>82</v>
      </c>
      <c r="I126" s="11" t="s">
        <v>941</v>
      </c>
      <c r="J126" s="11" t="s">
        <v>942</v>
      </c>
      <c r="K126" s="11" t="s">
        <v>943</v>
      </c>
      <c r="L126" s="11" t="s">
        <v>86</v>
      </c>
      <c r="M126" s="20" t="s">
        <v>87</v>
      </c>
      <c r="N126" s="20" t="s">
        <v>86</v>
      </c>
      <c r="O126" s="20" t="s">
        <v>86</v>
      </c>
      <c r="P126" s="21"/>
      <c r="Q126" s="12" t="s">
        <v>86</v>
      </c>
    </row>
    <row r="127" ht="68" customHeight="1" spans="1:17">
      <c r="A127" s="19" t="s">
        <v>944</v>
      </c>
      <c r="B127" s="11" t="s">
        <v>51</v>
      </c>
      <c r="C127" s="11" t="s">
        <v>945</v>
      </c>
      <c r="D127" s="11" t="s">
        <v>946</v>
      </c>
      <c r="E127" s="20" t="s">
        <v>36</v>
      </c>
      <c r="F127" s="20" t="s">
        <v>152</v>
      </c>
      <c r="G127" s="11" t="s">
        <v>947</v>
      </c>
      <c r="H127" s="11" t="s">
        <v>82</v>
      </c>
      <c r="I127" s="11" t="s">
        <v>948</v>
      </c>
      <c r="J127" s="11" t="s">
        <v>949</v>
      </c>
      <c r="K127" s="11" t="s">
        <v>950</v>
      </c>
      <c r="L127" s="11" t="s">
        <v>86</v>
      </c>
      <c r="M127" s="20" t="s">
        <v>87</v>
      </c>
      <c r="N127" s="20" t="s">
        <v>86</v>
      </c>
      <c r="O127" s="20" t="s">
        <v>86</v>
      </c>
      <c r="P127" s="21"/>
      <c r="Q127" s="12" t="s">
        <v>86</v>
      </c>
    </row>
    <row r="128" ht="68" customHeight="1" spans="1:17">
      <c r="A128" s="19" t="s">
        <v>951</v>
      </c>
      <c r="B128" s="11" t="s">
        <v>52</v>
      </c>
      <c r="C128" s="11" t="s">
        <v>952</v>
      </c>
      <c r="D128" s="11" t="s">
        <v>953</v>
      </c>
      <c r="E128" s="20" t="s">
        <v>36</v>
      </c>
      <c r="F128" s="20" t="s">
        <v>80</v>
      </c>
      <c r="G128" s="11" t="s">
        <v>954</v>
      </c>
      <c r="H128" s="11" t="s">
        <v>82</v>
      </c>
      <c r="I128" s="11" t="s">
        <v>955</v>
      </c>
      <c r="J128" s="11" t="s">
        <v>956</v>
      </c>
      <c r="K128" s="11" t="s">
        <v>957</v>
      </c>
      <c r="L128" s="11" t="s">
        <v>86</v>
      </c>
      <c r="M128" s="20" t="s">
        <v>87</v>
      </c>
      <c r="N128" s="20" t="s">
        <v>86</v>
      </c>
      <c r="O128" s="20" t="s">
        <v>86</v>
      </c>
      <c r="P128" s="21"/>
      <c r="Q128" s="12" t="s">
        <v>86</v>
      </c>
    </row>
    <row r="129" ht="68" customHeight="1" spans="1:17">
      <c r="A129" s="19" t="s">
        <v>958</v>
      </c>
      <c r="B129" s="11" t="s">
        <v>52</v>
      </c>
      <c r="C129" s="11" t="s">
        <v>959</v>
      </c>
      <c r="D129" s="11" t="s">
        <v>960</v>
      </c>
      <c r="E129" s="20" t="s">
        <v>36</v>
      </c>
      <c r="F129" s="20" t="s">
        <v>80</v>
      </c>
      <c r="G129" s="11" t="s">
        <v>961</v>
      </c>
      <c r="H129" s="11" t="s">
        <v>82</v>
      </c>
      <c r="I129" s="11" t="s">
        <v>962</v>
      </c>
      <c r="J129" s="11" t="s">
        <v>963</v>
      </c>
      <c r="K129" s="11" t="s">
        <v>964</v>
      </c>
      <c r="L129" s="11" t="s">
        <v>86</v>
      </c>
      <c r="M129" s="20" t="s">
        <v>87</v>
      </c>
      <c r="N129" s="20" t="s">
        <v>86</v>
      </c>
      <c r="O129" s="20" t="s">
        <v>86</v>
      </c>
      <c r="P129" s="21"/>
      <c r="Q129" s="12" t="s">
        <v>86</v>
      </c>
    </row>
    <row r="130" ht="68" customHeight="1" spans="1:17">
      <c r="A130" s="19" t="s">
        <v>965</v>
      </c>
      <c r="B130" s="11" t="s">
        <v>52</v>
      </c>
      <c r="C130" s="11" t="s">
        <v>966</v>
      </c>
      <c r="D130" s="11" t="s">
        <v>967</v>
      </c>
      <c r="E130" s="20" t="s">
        <v>36</v>
      </c>
      <c r="F130" s="20" t="s">
        <v>80</v>
      </c>
      <c r="G130" s="11" t="s">
        <v>968</v>
      </c>
      <c r="H130" s="11" t="s">
        <v>82</v>
      </c>
      <c r="I130" s="11" t="s">
        <v>969</v>
      </c>
      <c r="J130" s="11" t="s">
        <v>970</v>
      </c>
      <c r="K130" s="11" t="s">
        <v>971</v>
      </c>
      <c r="L130" s="11" t="s">
        <v>86</v>
      </c>
      <c r="M130" s="20" t="s">
        <v>87</v>
      </c>
      <c r="N130" s="20" t="s">
        <v>86</v>
      </c>
      <c r="O130" s="20" t="s">
        <v>86</v>
      </c>
      <c r="P130" s="21"/>
      <c r="Q130" s="12" t="s">
        <v>86</v>
      </c>
    </row>
    <row r="131" ht="68" customHeight="1" spans="1:17">
      <c r="A131" s="19" t="s">
        <v>972</v>
      </c>
      <c r="B131" s="11" t="s">
        <v>52</v>
      </c>
      <c r="C131" s="11" t="s">
        <v>973</v>
      </c>
      <c r="D131" s="11" t="s">
        <v>974</v>
      </c>
      <c r="E131" s="20" t="s">
        <v>36</v>
      </c>
      <c r="F131" s="20" t="s">
        <v>80</v>
      </c>
      <c r="G131" s="11" t="s">
        <v>975</v>
      </c>
      <c r="H131" s="11" t="s">
        <v>82</v>
      </c>
      <c r="I131" s="11" t="s">
        <v>976</v>
      </c>
      <c r="J131" s="11" t="s">
        <v>977</v>
      </c>
      <c r="K131" s="11" t="s">
        <v>978</v>
      </c>
      <c r="L131" s="11" t="s">
        <v>86</v>
      </c>
      <c r="M131" s="20" t="s">
        <v>87</v>
      </c>
      <c r="N131" s="20" t="s">
        <v>86</v>
      </c>
      <c r="O131" s="20" t="s">
        <v>86</v>
      </c>
      <c r="P131" s="21"/>
      <c r="Q131" s="12" t="s">
        <v>86</v>
      </c>
    </row>
    <row r="132" ht="68" customHeight="1" spans="1:17">
      <c r="A132" s="19" t="s">
        <v>979</v>
      </c>
      <c r="B132" s="11" t="s">
        <v>52</v>
      </c>
      <c r="C132" s="11" t="s">
        <v>980</v>
      </c>
      <c r="D132" s="11" t="s">
        <v>981</v>
      </c>
      <c r="E132" s="20" t="s">
        <v>38</v>
      </c>
      <c r="F132" s="20" t="s">
        <v>80</v>
      </c>
      <c r="G132" s="11" t="s">
        <v>982</v>
      </c>
      <c r="H132" s="11" t="s">
        <v>82</v>
      </c>
      <c r="I132" s="11" t="s">
        <v>983</v>
      </c>
      <c r="J132" s="11" t="s">
        <v>984</v>
      </c>
      <c r="K132" s="11" t="s">
        <v>985</v>
      </c>
      <c r="L132" s="11" t="s">
        <v>86</v>
      </c>
      <c r="M132" s="20" t="s">
        <v>87</v>
      </c>
      <c r="N132" s="20" t="s">
        <v>86</v>
      </c>
      <c r="O132" s="20" t="s">
        <v>86</v>
      </c>
      <c r="P132" s="21"/>
      <c r="Q132" s="12" t="s">
        <v>86</v>
      </c>
    </row>
    <row r="133" ht="68" customHeight="1" spans="1:17">
      <c r="A133" s="19" t="s">
        <v>986</v>
      </c>
      <c r="B133" s="11" t="s">
        <v>52</v>
      </c>
      <c r="C133" s="11" t="s">
        <v>987</v>
      </c>
      <c r="D133" s="11" t="s">
        <v>988</v>
      </c>
      <c r="E133" s="20" t="s">
        <v>36</v>
      </c>
      <c r="F133" s="20" t="s">
        <v>152</v>
      </c>
      <c r="G133" s="11" t="s">
        <v>989</v>
      </c>
      <c r="H133" s="11" t="s">
        <v>82</v>
      </c>
      <c r="I133" s="11" t="s">
        <v>990</v>
      </c>
      <c r="J133" s="11" t="s">
        <v>991</v>
      </c>
      <c r="K133" s="11" t="s">
        <v>992</v>
      </c>
      <c r="L133" s="11" t="s">
        <v>86</v>
      </c>
      <c r="M133" s="20" t="s">
        <v>87</v>
      </c>
      <c r="N133" s="20" t="s">
        <v>86</v>
      </c>
      <c r="O133" s="20" t="s">
        <v>86</v>
      </c>
      <c r="P133" s="21"/>
      <c r="Q133" s="12" t="s">
        <v>86</v>
      </c>
    </row>
    <row r="134" ht="68" customHeight="1" spans="1:17">
      <c r="A134" s="19" t="s">
        <v>993</v>
      </c>
      <c r="B134" s="11" t="s">
        <v>52</v>
      </c>
      <c r="C134" s="11" t="s">
        <v>994</v>
      </c>
      <c r="D134" s="11" t="s">
        <v>995</v>
      </c>
      <c r="E134" s="20" t="s">
        <v>36</v>
      </c>
      <c r="F134" s="20" t="s">
        <v>91</v>
      </c>
      <c r="G134" s="11" t="s">
        <v>996</v>
      </c>
      <c r="H134" s="11" t="s">
        <v>82</v>
      </c>
      <c r="I134" s="11" t="s">
        <v>997</v>
      </c>
      <c r="J134" s="11" t="s">
        <v>998</v>
      </c>
      <c r="K134" s="11" t="s">
        <v>999</v>
      </c>
      <c r="L134" s="11" t="s">
        <v>86</v>
      </c>
      <c r="M134" s="20" t="s">
        <v>87</v>
      </c>
      <c r="N134" s="20" t="s">
        <v>86</v>
      </c>
      <c r="O134" s="20" t="s">
        <v>86</v>
      </c>
      <c r="P134" s="21"/>
      <c r="Q134" s="12" t="s">
        <v>86</v>
      </c>
    </row>
    <row r="135" ht="68" customHeight="1" spans="1:17">
      <c r="A135" s="19" t="s">
        <v>1000</v>
      </c>
      <c r="B135" s="11" t="s">
        <v>53</v>
      </c>
      <c r="C135" s="11" t="s">
        <v>1001</v>
      </c>
      <c r="D135" s="11" t="s">
        <v>1002</v>
      </c>
      <c r="E135" s="20" t="s">
        <v>34</v>
      </c>
      <c r="F135" s="20" t="s">
        <v>80</v>
      </c>
      <c r="G135" s="11" t="s">
        <v>1003</v>
      </c>
      <c r="H135" s="11" t="s">
        <v>82</v>
      </c>
      <c r="I135" s="11" t="s">
        <v>1004</v>
      </c>
      <c r="J135" s="11" t="s">
        <v>1005</v>
      </c>
      <c r="K135" s="11" t="s">
        <v>1006</v>
      </c>
      <c r="L135" s="11" t="s">
        <v>86</v>
      </c>
      <c r="M135" s="20" t="s">
        <v>87</v>
      </c>
      <c r="N135" s="20" t="s">
        <v>86</v>
      </c>
      <c r="O135" s="20" t="s">
        <v>86</v>
      </c>
      <c r="P135" s="21"/>
      <c r="Q135" s="12" t="s">
        <v>86</v>
      </c>
    </row>
    <row r="136" ht="68" customHeight="1" spans="1:17">
      <c r="A136" s="19" t="s">
        <v>1007</v>
      </c>
      <c r="B136" s="11" t="s">
        <v>53</v>
      </c>
      <c r="C136" s="11" t="s">
        <v>1008</v>
      </c>
      <c r="D136" s="11" t="s">
        <v>1009</v>
      </c>
      <c r="E136" s="20" t="s">
        <v>34</v>
      </c>
      <c r="F136" s="20" t="s">
        <v>80</v>
      </c>
      <c r="G136" s="11" t="s">
        <v>1010</v>
      </c>
      <c r="H136" s="11" t="s">
        <v>82</v>
      </c>
      <c r="I136" s="11" t="s">
        <v>1011</v>
      </c>
      <c r="J136" s="11" t="s">
        <v>1012</v>
      </c>
      <c r="K136" s="11" t="s">
        <v>1013</v>
      </c>
      <c r="L136" s="11" t="s">
        <v>86</v>
      </c>
      <c r="M136" s="20" t="s">
        <v>87</v>
      </c>
      <c r="N136" s="20" t="s">
        <v>86</v>
      </c>
      <c r="O136" s="20" t="s">
        <v>86</v>
      </c>
      <c r="P136" s="21"/>
      <c r="Q136" s="12" t="s">
        <v>86</v>
      </c>
    </row>
    <row r="137" ht="68" customHeight="1" spans="1:17">
      <c r="A137" s="19" t="s">
        <v>1014</v>
      </c>
      <c r="B137" s="11" t="s">
        <v>53</v>
      </c>
      <c r="C137" s="11" t="s">
        <v>1015</v>
      </c>
      <c r="D137" s="11" t="s">
        <v>1016</v>
      </c>
      <c r="E137" s="20" t="s">
        <v>36</v>
      </c>
      <c r="F137" s="20" t="s">
        <v>80</v>
      </c>
      <c r="G137" s="11" t="s">
        <v>1017</v>
      </c>
      <c r="H137" s="11" t="s">
        <v>82</v>
      </c>
      <c r="I137" s="11" t="s">
        <v>1018</v>
      </c>
      <c r="J137" s="11" t="s">
        <v>1019</v>
      </c>
      <c r="K137" s="11" t="s">
        <v>1020</v>
      </c>
      <c r="L137" s="11" t="s">
        <v>86</v>
      </c>
      <c r="M137" s="20" t="s">
        <v>87</v>
      </c>
      <c r="N137" s="20" t="s">
        <v>86</v>
      </c>
      <c r="O137" s="20" t="s">
        <v>86</v>
      </c>
      <c r="P137" s="21"/>
      <c r="Q137" s="12" t="s">
        <v>86</v>
      </c>
    </row>
    <row r="138" ht="68" customHeight="1" spans="1:17">
      <c r="A138" s="19" t="s">
        <v>1021</v>
      </c>
      <c r="B138" s="11" t="s">
        <v>53</v>
      </c>
      <c r="C138" s="11" t="s">
        <v>1022</v>
      </c>
      <c r="D138" s="11" t="s">
        <v>1023</v>
      </c>
      <c r="E138" s="20" t="s">
        <v>36</v>
      </c>
      <c r="F138" s="20" t="s">
        <v>80</v>
      </c>
      <c r="G138" s="11" t="s">
        <v>1024</v>
      </c>
      <c r="H138" s="11" t="s">
        <v>82</v>
      </c>
      <c r="I138" s="11" t="s">
        <v>1025</v>
      </c>
      <c r="J138" s="11" t="s">
        <v>1026</v>
      </c>
      <c r="K138" s="11" t="s">
        <v>1027</v>
      </c>
      <c r="L138" s="11" t="s">
        <v>86</v>
      </c>
      <c r="M138" s="20" t="s">
        <v>87</v>
      </c>
      <c r="N138" s="20" t="s">
        <v>86</v>
      </c>
      <c r="O138" s="20" t="s">
        <v>86</v>
      </c>
      <c r="P138" s="21"/>
      <c r="Q138" s="12" t="s">
        <v>86</v>
      </c>
    </row>
    <row r="139" ht="68" customHeight="1" spans="1:17">
      <c r="A139" s="19" t="s">
        <v>1028</v>
      </c>
      <c r="B139" s="11" t="s">
        <v>53</v>
      </c>
      <c r="C139" s="11" t="s">
        <v>1029</v>
      </c>
      <c r="D139" s="11" t="s">
        <v>1030</v>
      </c>
      <c r="E139" s="20" t="s">
        <v>36</v>
      </c>
      <c r="F139" s="20" t="s">
        <v>80</v>
      </c>
      <c r="G139" s="11" t="s">
        <v>1031</v>
      </c>
      <c r="H139" s="11" t="s">
        <v>82</v>
      </c>
      <c r="I139" s="11" t="s">
        <v>1032</v>
      </c>
      <c r="J139" s="11" t="s">
        <v>1033</v>
      </c>
      <c r="K139" s="11" t="s">
        <v>1034</v>
      </c>
      <c r="L139" s="11" t="s">
        <v>86</v>
      </c>
      <c r="M139" s="20" t="s">
        <v>87</v>
      </c>
      <c r="N139" s="20" t="s">
        <v>86</v>
      </c>
      <c r="O139" s="20" t="s">
        <v>86</v>
      </c>
      <c r="P139" s="21"/>
      <c r="Q139" s="12" t="s">
        <v>86</v>
      </c>
    </row>
    <row r="140" ht="68" customHeight="1" spans="1:17">
      <c r="A140" s="19" t="s">
        <v>1035</v>
      </c>
      <c r="B140" s="11" t="s">
        <v>53</v>
      </c>
      <c r="C140" s="11" t="s">
        <v>1036</v>
      </c>
      <c r="D140" s="11" t="s">
        <v>1037</v>
      </c>
      <c r="E140" s="20" t="s">
        <v>36</v>
      </c>
      <c r="F140" s="20" t="s">
        <v>80</v>
      </c>
      <c r="G140" s="11" t="s">
        <v>1038</v>
      </c>
      <c r="H140" s="11" t="s">
        <v>82</v>
      </c>
      <c r="I140" s="11" t="s">
        <v>1039</v>
      </c>
      <c r="J140" s="11" t="s">
        <v>1040</v>
      </c>
      <c r="K140" s="11" t="s">
        <v>1041</v>
      </c>
      <c r="L140" s="11" t="s">
        <v>86</v>
      </c>
      <c r="M140" s="20" t="s">
        <v>87</v>
      </c>
      <c r="N140" s="20" t="s">
        <v>86</v>
      </c>
      <c r="O140" s="20" t="s">
        <v>86</v>
      </c>
      <c r="P140" s="21"/>
      <c r="Q140" s="12" t="s">
        <v>86</v>
      </c>
    </row>
    <row r="141" ht="68" customHeight="1" spans="1:17">
      <c r="A141" s="19" t="s">
        <v>1042</v>
      </c>
      <c r="B141" s="11" t="s">
        <v>53</v>
      </c>
      <c r="C141" s="11" t="s">
        <v>1043</v>
      </c>
      <c r="D141" s="11" t="s">
        <v>1044</v>
      </c>
      <c r="E141" s="20" t="s">
        <v>36</v>
      </c>
      <c r="F141" s="20" t="s">
        <v>1045</v>
      </c>
      <c r="G141" s="11" t="s">
        <v>1046</v>
      </c>
      <c r="H141" s="11" t="s">
        <v>82</v>
      </c>
      <c r="I141" s="11" t="s">
        <v>1047</v>
      </c>
      <c r="J141" s="11" t="s">
        <v>1048</v>
      </c>
      <c r="K141" s="11" t="s">
        <v>1049</v>
      </c>
      <c r="L141" s="11" t="s">
        <v>86</v>
      </c>
      <c r="M141" s="20" t="s">
        <v>87</v>
      </c>
      <c r="N141" s="20" t="s">
        <v>86</v>
      </c>
      <c r="O141" s="20" t="s">
        <v>86</v>
      </c>
      <c r="P141" s="21"/>
      <c r="Q141" s="12" t="s">
        <v>86</v>
      </c>
    </row>
    <row r="142" ht="68" customHeight="1" spans="1:17">
      <c r="A142" s="19" t="s">
        <v>1050</v>
      </c>
      <c r="B142" s="11" t="s">
        <v>53</v>
      </c>
      <c r="C142" s="11" t="s">
        <v>1051</v>
      </c>
      <c r="D142" s="11" t="s">
        <v>1052</v>
      </c>
      <c r="E142" s="20" t="s">
        <v>34</v>
      </c>
      <c r="F142" s="20" t="s">
        <v>152</v>
      </c>
      <c r="G142" s="11" t="s">
        <v>1053</v>
      </c>
      <c r="H142" s="11" t="s">
        <v>82</v>
      </c>
      <c r="I142" s="11" t="s">
        <v>1054</v>
      </c>
      <c r="J142" s="11" t="s">
        <v>1055</v>
      </c>
      <c r="K142" s="11" t="s">
        <v>1056</v>
      </c>
      <c r="L142" s="11" t="s">
        <v>86</v>
      </c>
      <c r="M142" s="20" t="s">
        <v>87</v>
      </c>
      <c r="N142" s="20" t="s">
        <v>86</v>
      </c>
      <c r="O142" s="20" t="s">
        <v>86</v>
      </c>
      <c r="P142" s="21"/>
      <c r="Q142" s="12" t="s">
        <v>86</v>
      </c>
    </row>
    <row r="143" ht="68" customHeight="1" spans="1:17">
      <c r="A143" s="19" t="s">
        <v>1057</v>
      </c>
      <c r="B143" s="11" t="s">
        <v>54</v>
      </c>
      <c r="C143" s="11" t="s">
        <v>1058</v>
      </c>
      <c r="D143" s="11" t="s">
        <v>1059</v>
      </c>
      <c r="E143" s="20" t="s">
        <v>36</v>
      </c>
      <c r="F143" s="20" t="s">
        <v>266</v>
      </c>
      <c r="G143" s="11" t="s">
        <v>1060</v>
      </c>
      <c r="H143" s="11" t="s">
        <v>82</v>
      </c>
      <c r="I143" s="11" t="s">
        <v>1061</v>
      </c>
      <c r="J143" s="11" t="s">
        <v>1062</v>
      </c>
      <c r="K143" s="11" t="s">
        <v>1063</v>
      </c>
      <c r="L143" s="11" t="s">
        <v>86</v>
      </c>
      <c r="M143" s="20" t="s">
        <v>87</v>
      </c>
      <c r="N143" s="20" t="s">
        <v>86</v>
      </c>
      <c r="O143" s="20" t="s">
        <v>86</v>
      </c>
      <c r="P143" s="21"/>
      <c r="Q143" s="12" t="s">
        <v>86</v>
      </c>
    </row>
    <row r="144" ht="68" customHeight="1" spans="1:17">
      <c r="A144" s="19" t="s">
        <v>1064</v>
      </c>
      <c r="B144" s="11" t="s">
        <v>54</v>
      </c>
      <c r="C144" s="11" t="s">
        <v>1065</v>
      </c>
      <c r="D144" s="11" t="s">
        <v>1066</v>
      </c>
      <c r="E144" s="20" t="s">
        <v>36</v>
      </c>
      <c r="F144" s="20" t="s">
        <v>266</v>
      </c>
      <c r="G144" s="11" t="s">
        <v>1060</v>
      </c>
      <c r="H144" s="11" t="s">
        <v>82</v>
      </c>
      <c r="I144" s="11" t="s">
        <v>1067</v>
      </c>
      <c r="J144" s="11" t="s">
        <v>1068</v>
      </c>
      <c r="K144" s="11" t="s">
        <v>1063</v>
      </c>
      <c r="L144" s="11" t="s">
        <v>86</v>
      </c>
      <c r="M144" s="20" t="s">
        <v>87</v>
      </c>
      <c r="N144" s="20" t="s">
        <v>86</v>
      </c>
      <c r="O144" s="20" t="s">
        <v>86</v>
      </c>
      <c r="P144" s="21"/>
      <c r="Q144" s="12" t="s">
        <v>86</v>
      </c>
    </row>
    <row r="145" ht="68" customHeight="1" spans="1:17">
      <c r="A145" s="19" t="s">
        <v>1069</v>
      </c>
      <c r="B145" s="11" t="s">
        <v>54</v>
      </c>
      <c r="C145" s="11" t="s">
        <v>1070</v>
      </c>
      <c r="D145" s="11" t="s">
        <v>1071</v>
      </c>
      <c r="E145" s="20" t="s">
        <v>36</v>
      </c>
      <c r="F145" s="20" t="s">
        <v>266</v>
      </c>
      <c r="G145" s="11" t="s">
        <v>1072</v>
      </c>
      <c r="H145" s="11" t="s">
        <v>82</v>
      </c>
      <c r="I145" s="11" t="s">
        <v>1073</v>
      </c>
      <c r="J145" s="11" t="s">
        <v>1074</v>
      </c>
      <c r="K145" s="11" t="s">
        <v>1075</v>
      </c>
      <c r="L145" s="11" t="s">
        <v>86</v>
      </c>
      <c r="M145" s="20" t="s">
        <v>87</v>
      </c>
      <c r="N145" s="20" t="s">
        <v>86</v>
      </c>
      <c r="O145" s="20" t="s">
        <v>86</v>
      </c>
      <c r="P145" s="21"/>
      <c r="Q145" s="12" t="s">
        <v>86</v>
      </c>
    </row>
    <row r="146" ht="68" customHeight="1" spans="1:17">
      <c r="A146" s="19" t="s">
        <v>1076</v>
      </c>
      <c r="B146" s="11" t="s">
        <v>54</v>
      </c>
      <c r="C146" s="11" t="s">
        <v>1077</v>
      </c>
      <c r="D146" s="11" t="s">
        <v>1078</v>
      </c>
      <c r="E146" s="20" t="s">
        <v>36</v>
      </c>
      <c r="F146" s="20" t="s">
        <v>266</v>
      </c>
      <c r="G146" s="11" t="s">
        <v>1079</v>
      </c>
      <c r="H146" s="11" t="s">
        <v>82</v>
      </c>
      <c r="I146" s="11" t="s">
        <v>1080</v>
      </c>
      <c r="J146" s="11" t="s">
        <v>1081</v>
      </c>
      <c r="K146" s="11" t="s">
        <v>453</v>
      </c>
      <c r="L146" s="11" t="s">
        <v>86</v>
      </c>
      <c r="M146" s="20" t="s">
        <v>87</v>
      </c>
      <c r="N146" s="20" t="s">
        <v>86</v>
      </c>
      <c r="O146" s="20" t="s">
        <v>86</v>
      </c>
      <c r="P146" s="21"/>
      <c r="Q146" s="12" t="s">
        <v>86</v>
      </c>
    </row>
    <row r="147" ht="68" customHeight="1" spans="1:17">
      <c r="A147" s="19" t="s">
        <v>1082</v>
      </c>
      <c r="B147" s="11" t="s">
        <v>54</v>
      </c>
      <c r="C147" s="11" t="s">
        <v>1083</v>
      </c>
      <c r="D147" s="11" t="s">
        <v>1084</v>
      </c>
      <c r="E147" s="20" t="s">
        <v>36</v>
      </c>
      <c r="F147" s="20" t="s">
        <v>677</v>
      </c>
      <c r="G147" s="11" t="s">
        <v>1085</v>
      </c>
      <c r="H147" s="11" t="s">
        <v>82</v>
      </c>
      <c r="I147" s="11" t="s">
        <v>1086</v>
      </c>
      <c r="J147" s="11" t="s">
        <v>1087</v>
      </c>
      <c r="K147" s="11" t="s">
        <v>1088</v>
      </c>
      <c r="L147" s="11" t="s">
        <v>86</v>
      </c>
      <c r="M147" s="20" t="s">
        <v>87</v>
      </c>
      <c r="N147" s="20" t="s">
        <v>86</v>
      </c>
      <c r="O147" s="20" t="s">
        <v>86</v>
      </c>
      <c r="P147" s="21"/>
      <c r="Q147" s="12" t="s">
        <v>86</v>
      </c>
    </row>
    <row r="148" ht="68" customHeight="1" spans="1:17">
      <c r="A148" s="19" t="s">
        <v>1089</v>
      </c>
      <c r="B148" s="11" t="s">
        <v>54</v>
      </c>
      <c r="C148" s="11" t="s">
        <v>1090</v>
      </c>
      <c r="D148" s="11" t="s">
        <v>1091</v>
      </c>
      <c r="E148" s="20" t="s">
        <v>34</v>
      </c>
      <c r="F148" s="20" t="s">
        <v>677</v>
      </c>
      <c r="G148" s="11" t="s">
        <v>1092</v>
      </c>
      <c r="H148" s="11" t="s">
        <v>82</v>
      </c>
      <c r="I148" s="11" t="s">
        <v>1093</v>
      </c>
      <c r="J148" s="11" t="s">
        <v>1094</v>
      </c>
      <c r="K148" s="11" t="s">
        <v>1095</v>
      </c>
      <c r="L148" s="11" t="s">
        <v>86</v>
      </c>
      <c r="M148" s="20" t="s">
        <v>87</v>
      </c>
      <c r="N148" s="20" t="s">
        <v>86</v>
      </c>
      <c r="O148" s="20" t="s">
        <v>86</v>
      </c>
      <c r="P148" s="21"/>
      <c r="Q148" s="12" t="s">
        <v>86</v>
      </c>
    </row>
    <row r="149" ht="68" customHeight="1" spans="1:17">
      <c r="A149" s="19" t="s">
        <v>1096</v>
      </c>
      <c r="B149" s="11" t="s">
        <v>54</v>
      </c>
      <c r="C149" s="11" t="s">
        <v>1097</v>
      </c>
      <c r="D149" s="11" t="s">
        <v>1098</v>
      </c>
      <c r="E149" s="20" t="s">
        <v>34</v>
      </c>
      <c r="F149" s="20" t="s">
        <v>677</v>
      </c>
      <c r="G149" s="11" t="s">
        <v>1099</v>
      </c>
      <c r="H149" s="11" t="s">
        <v>82</v>
      </c>
      <c r="I149" s="11" t="s">
        <v>1100</v>
      </c>
      <c r="J149" s="11" t="s">
        <v>1101</v>
      </c>
      <c r="K149" s="11" t="s">
        <v>1102</v>
      </c>
      <c r="L149" s="11" t="s">
        <v>86</v>
      </c>
      <c r="M149" s="20" t="s">
        <v>87</v>
      </c>
      <c r="N149" s="20" t="s">
        <v>86</v>
      </c>
      <c r="O149" s="20" t="s">
        <v>86</v>
      </c>
      <c r="P149" s="21"/>
      <c r="Q149" s="12" t="s">
        <v>86</v>
      </c>
    </row>
    <row r="150" ht="68" customHeight="1" spans="1:17">
      <c r="A150" s="19" t="s">
        <v>1103</v>
      </c>
      <c r="B150" s="11" t="s">
        <v>54</v>
      </c>
      <c r="C150" s="11" t="s">
        <v>1104</v>
      </c>
      <c r="D150" s="11" t="s">
        <v>1105</v>
      </c>
      <c r="E150" s="20" t="s">
        <v>34</v>
      </c>
      <c r="F150" s="20" t="s">
        <v>677</v>
      </c>
      <c r="G150" s="11" t="s">
        <v>1106</v>
      </c>
      <c r="H150" s="11" t="s">
        <v>82</v>
      </c>
      <c r="I150" s="11" t="s">
        <v>1107</v>
      </c>
      <c r="J150" s="11" t="s">
        <v>1108</v>
      </c>
      <c r="K150" s="11" t="s">
        <v>681</v>
      </c>
      <c r="L150" s="11" t="s">
        <v>86</v>
      </c>
      <c r="M150" s="20" t="s">
        <v>87</v>
      </c>
      <c r="N150" s="20" t="s">
        <v>86</v>
      </c>
      <c r="O150" s="20" t="s">
        <v>86</v>
      </c>
      <c r="P150" s="21"/>
      <c r="Q150" s="12" t="s">
        <v>86</v>
      </c>
    </row>
    <row r="151" ht="68" customHeight="1" spans="1:17">
      <c r="A151" s="19" t="s">
        <v>1109</v>
      </c>
      <c r="B151" s="11" t="s">
        <v>54</v>
      </c>
      <c r="C151" s="11" t="s">
        <v>1110</v>
      </c>
      <c r="D151" s="11" t="s">
        <v>1111</v>
      </c>
      <c r="E151" s="20" t="s">
        <v>36</v>
      </c>
      <c r="F151" s="20" t="s">
        <v>266</v>
      </c>
      <c r="G151" s="11" t="s">
        <v>1112</v>
      </c>
      <c r="H151" s="11" t="s">
        <v>82</v>
      </c>
      <c r="I151" s="11" t="s">
        <v>1113</v>
      </c>
      <c r="J151" s="11" t="s">
        <v>1114</v>
      </c>
      <c r="K151" s="11" t="s">
        <v>1115</v>
      </c>
      <c r="L151" s="11" t="s">
        <v>86</v>
      </c>
      <c r="M151" s="20" t="s">
        <v>87</v>
      </c>
      <c r="N151" s="20" t="s">
        <v>86</v>
      </c>
      <c r="O151" s="20" t="s">
        <v>86</v>
      </c>
      <c r="P151" s="21"/>
      <c r="Q151" s="12" t="s">
        <v>86</v>
      </c>
    </row>
    <row r="152" ht="68" customHeight="1" spans="1:17">
      <c r="A152" s="19" t="s">
        <v>1116</v>
      </c>
      <c r="B152" s="11" t="s">
        <v>54</v>
      </c>
      <c r="C152" s="11" t="s">
        <v>1117</v>
      </c>
      <c r="D152" s="11" t="s">
        <v>1118</v>
      </c>
      <c r="E152" s="20" t="s">
        <v>36</v>
      </c>
      <c r="F152" s="20" t="s">
        <v>266</v>
      </c>
      <c r="G152" s="11" t="s">
        <v>1112</v>
      </c>
      <c r="H152" s="11" t="s">
        <v>82</v>
      </c>
      <c r="I152" s="11" t="s">
        <v>1119</v>
      </c>
      <c r="J152" s="11" t="s">
        <v>1120</v>
      </c>
      <c r="K152" s="11" t="s">
        <v>1121</v>
      </c>
      <c r="L152" s="11" t="s">
        <v>86</v>
      </c>
      <c r="M152" s="20" t="s">
        <v>87</v>
      </c>
      <c r="N152" s="20" t="s">
        <v>86</v>
      </c>
      <c r="O152" s="20" t="s">
        <v>86</v>
      </c>
      <c r="P152" s="21"/>
      <c r="Q152" s="12" t="s">
        <v>86</v>
      </c>
    </row>
    <row r="153" ht="68" customHeight="1" spans="1:17">
      <c r="A153" s="19" t="s">
        <v>1122</v>
      </c>
      <c r="B153" s="11" t="s">
        <v>54</v>
      </c>
      <c r="C153" s="11" t="s">
        <v>1123</v>
      </c>
      <c r="D153" s="11" t="s">
        <v>1124</v>
      </c>
      <c r="E153" s="20" t="s">
        <v>36</v>
      </c>
      <c r="F153" s="20" t="s">
        <v>152</v>
      </c>
      <c r="G153" s="11" t="s">
        <v>1125</v>
      </c>
      <c r="H153" s="11" t="s">
        <v>82</v>
      </c>
      <c r="I153" s="11" t="s">
        <v>1126</v>
      </c>
      <c r="J153" s="11" t="s">
        <v>1127</v>
      </c>
      <c r="K153" s="11" t="s">
        <v>1128</v>
      </c>
      <c r="L153" s="11" t="s">
        <v>86</v>
      </c>
      <c r="M153" s="20" t="s">
        <v>87</v>
      </c>
      <c r="N153" s="20" t="s">
        <v>86</v>
      </c>
      <c r="O153" s="20" t="s">
        <v>86</v>
      </c>
      <c r="P153" s="21"/>
      <c r="Q153" s="12" t="s">
        <v>86</v>
      </c>
    </row>
    <row r="154" ht="68" customHeight="1" spans="1:17">
      <c r="A154" s="19" t="s">
        <v>1129</v>
      </c>
      <c r="B154" s="11" t="s">
        <v>54</v>
      </c>
      <c r="C154" s="11" t="s">
        <v>1130</v>
      </c>
      <c r="D154" s="11" t="s">
        <v>1131</v>
      </c>
      <c r="E154" s="20" t="s">
        <v>34</v>
      </c>
      <c r="F154" s="20" t="s">
        <v>266</v>
      </c>
      <c r="G154" s="11" t="s">
        <v>1132</v>
      </c>
      <c r="H154" s="11" t="s">
        <v>82</v>
      </c>
      <c r="I154" s="11" t="s">
        <v>1133</v>
      </c>
      <c r="J154" s="11" t="s">
        <v>1134</v>
      </c>
      <c r="K154" s="11" t="s">
        <v>1135</v>
      </c>
      <c r="L154" s="11" t="s">
        <v>86</v>
      </c>
      <c r="M154" s="20" t="s">
        <v>87</v>
      </c>
      <c r="N154" s="20" t="s">
        <v>86</v>
      </c>
      <c r="O154" s="20" t="s">
        <v>86</v>
      </c>
      <c r="P154" s="21"/>
      <c r="Q154" s="12" t="s">
        <v>86</v>
      </c>
    </row>
    <row r="155" ht="68" customHeight="1" spans="1:17">
      <c r="A155" s="19" t="s">
        <v>1136</v>
      </c>
      <c r="B155" s="11" t="s">
        <v>55</v>
      </c>
      <c r="C155" s="11" t="s">
        <v>1137</v>
      </c>
      <c r="D155" s="11" t="s">
        <v>1138</v>
      </c>
      <c r="E155" s="20" t="s">
        <v>36</v>
      </c>
      <c r="F155" s="20" t="s">
        <v>80</v>
      </c>
      <c r="G155" s="11" t="s">
        <v>1139</v>
      </c>
      <c r="H155" s="11" t="s">
        <v>82</v>
      </c>
      <c r="I155" s="11" t="s">
        <v>1140</v>
      </c>
      <c r="J155" s="11" t="s">
        <v>1141</v>
      </c>
      <c r="K155" s="11" t="s">
        <v>1142</v>
      </c>
      <c r="L155" s="11" t="s">
        <v>86</v>
      </c>
      <c r="M155" s="20" t="s">
        <v>87</v>
      </c>
      <c r="N155" s="20" t="s">
        <v>86</v>
      </c>
      <c r="O155" s="20" t="s">
        <v>86</v>
      </c>
      <c r="P155" s="21"/>
      <c r="Q155" s="12" t="s">
        <v>86</v>
      </c>
    </row>
    <row r="156" ht="68" customHeight="1" spans="1:17">
      <c r="A156" s="19" t="s">
        <v>1143</v>
      </c>
      <c r="B156" s="11" t="s">
        <v>55</v>
      </c>
      <c r="C156" s="11" t="s">
        <v>1144</v>
      </c>
      <c r="D156" s="11" t="s">
        <v>1145</v>
      </c>
      <c r="E156" s="20" t="s">
        <v>36</v>
      </c>
      <c r="F156" s="20" t="s">
        <v>80</v>
      </c>
      <c r="G156" s="11" t="s">
        <v>1146</v>
      </c>
      <c r="H156" s="11" t="s">
        <v>82</v>
      </c>
      <c r="I156" s="11" t="s">
        <v>1147</v>
      </c>
      <c r="J156" s="11" t="s">
        <v>1148</v>
      </c>
      <c r="K156" s="11" t="s">
        <v>1149</v>
      </c>
      <c r="L156" s="11" t="s">
        <v>86</v>
      </c>
      <c r="M156" s="20" t="s">
        <v>87</v>
      </c>
      <c r="N156" s="20" t="s">
        <v>86</v>
      </c>
      <c r="O156" s="20" t="s">
        <v>86</v>
      </c>
      <c r="P156" s="21"/>
      <c r="Q156" s="12" t="s">
        <v>86</v>
      </c>
    </row>
    <row r="157" ht="68" customHeight="1" spans="1:17">
      <c r="A157" s="19" t="s">
        <v>1150</v>
      </c>
      <c r="B157" s="11" t="s">
        <v>55</v>
      </c>
      <c r="C157" s="11" t="s">
        <v>1151</v>
      </c>
      <c r="D157" s="11" t="s">
        <v>1152</v>
      </c>
      <c r="E157" s="20" t="s">
        <v>34</v>
      </c>
      <c r="F157" s="20" t="s">
        <v>128</v>
      </c>
      <c r="G157" s="11" t="s">
        <v>1153</v>
      </c>
      <c r="H157" s="11" t="s">
        <v>82</v>
      </c>
      <c r="I157" s="11" t="s">
        <v>1154</v>
      </c>
      <c r="J157" s="11" t="s">
        <v>1155</v>
      </c>
      <c r="K157" s="11" t="s">
        <v>1156</v>
      </c>
      <c r="L157" s="11" t="s">
        <v>86</v>
      </c>
      <c r="M157" s="20" t="s">
        <v>87</v>
      </c>
      <c r="N157" s="20" t="s">
        <v>86</v>
      </c>
      <c r="O157" s="20" t="s">
        <v>86</v>
      </c>
      <c r="P157" s="21"/>
      <c r="Q157" s="12" t="s">
        <v>86</v>
      </c>
    </row>
    <row r="158" ht="68" customHeight="1" spans="1:17">
      <c r="A158" s="19" t="s">
        <v>1157</v>
      </c>
      <c r="B158" s="11" t="s">
        <v>55</v>
      </c>
      <c r="C158" s="11" t="s">
        <v>1158</v>
      </c>
      <c r="D158" s="11" t="s">
        <v>1159</v>
      </c>
      <c r="E158" s="20" t="s">
        <v>36</v>
      </c>
      <c r="F158" s="20" t="s">
        <v>128</v>
      </c>
      <c r="G158" s="11" t="s">
        <v>1160</v>
      </c>
      <c r="H158" s="11" t="s">
        <v>82</v>
      </c>
      <c r="I158" s="11" t="s">
        <v>1161</v>
      </c>
      <c r="J158" s="11" t="s">
        <v>1162</v>
      </c>
      <c r="K158" s="11" t="s">
        <v>453</v>
      </c>
      <c r="L158" s="11" t="s">
        <v>86</v>
      </c>
      <c r="M158" s="20" t="s">
        <v>87</v>
      </c>
      <c r="N158" s="20" t="s">
        <v>86</v>
      </c>
      <c r="O158" s="20" t="s">
        <v>86</v>
      </c>
      <c r="P158" s="21"/>
      <c r="Q158" s="12" t="s">
        <v>86</v>
      </c>
    </row>
    <row r="159" ht="68" customHeight="1" spans="1:17">
      <c r="A159" s="19" t="s">
        <v>1163</v>
      </c>
      <c r="B159" s="11" t="s">
        <v>55</v>
      </c>
      <c r="C159" s="11" t="s">
        <v>1164</v>
      </c>
      <c r="D159" s="11" t="s">
        <v>1165</v>
      </c>
      <c r="E159" s="20" t="s">
        <v>36</v>
      </c>
      <c r="F159" s="20" t="s">
        <v>128</v>
      </c>
      <c r="G159" s="11" t="s">
        <v>1166</v>
      </c>
      <c r="H159" s="11" t="s">
        <v>82</v>
      </c>
      <c r="I159" s="11" t="s">
        <v>1167</v>
      </c>
      <c r="J159" s="11" t="s">
        <v>1168</v>
      </c>
      <c r="K159" s="11" t="s">
        <v>1169</v>
      </c>
      <c r="L159" s="11" t="s">
        <v>86</v>
      </c>
      <c r="M159" s="20" t="s">
        <v>87</v>
      </c>
      <c r="N159" s="20" t="s">
        <v>86</v>
      </c>
      <c r="O159" s="20" t="s">
        <v>86</v>
      </c>
      <c r="P159" s="21"/>
      <c r="Q159" s="12" t="s">
        <v>86</v>
      </c>
    </row>
    <row r="160" ht="68" customHeight="1" spans="1:17">
      <c r="A160" s="19" t="s">
        <v>1170</v>
      </c>
      <c r="B160" s="11" t="s">
        <v>55</v>
      </c>
      <c r="C160" s="11" t="s">
        <v>1171</v>
      </c>
      <c r="D160" s="11" t="s">
        <v>1172</v>
      </c>
      <c r="E160" s="20" t="s">
        <v>34</v>
      </c>
      <c r="F160" s="20" t="s">
        <v>80</v>
      </c>
      <c r="G160" s="11" t="s">
        <v>1173</v>
      </c>
      <c r="H160" s="11" t="s">
        <v>82</v>
      </c>
      <c r="I160" s="11" t="s">
        <v>1174</v>
      </c>
      <c r="J160" s="11" t="s">
        <v>1175</v>
      </c>
      <c r="K160" s="11" t="s">
        <v>1176</v>
      </c>
      <c r="L160" s="11" t="s">
        <v>86</v>
      </c>
      <c r="M160" s="20" t="s">
        <v>87</v>
      </c>
      <c r="N160" s="20" t="s">
        <v>86</v>
      </c>
      <c r="O160" s="20" t="s">
        <v>86</v>
      </c>
      <c r="P160" s="21"/>
      <c r="Q160" s="12" t="s">
        <v>86</v>
      </c>
    </row>
    <row r="161" ht="68" customHeight="1" spans="1:17">
      <c r="A161" s="19" t="s">
        <v>1177</v>
      </c>
      <c r="B161" s="11" t="s">
        <v>55</v>
      </c>
      <c r="C161" s="11" t="s">
        <v>1178</v>
      </c>
      <c r="D161" s="11" t="s">
        <v>1179</v>
      </c>
      <c r="E161" s="20" t="s">
        <v>36</v>
      </c>
      <c r="F161" s="20" t="s">
        <v>392</v>
      </c>
      <c r="G161" s="11" t="s">
        <v>1180</v>
      </c>
      <c r="H161" s="11" t="s">
        <v>82</v>
      </c>
      <c r="I161" s="11" t="s">
        <v>1181</v>
      </c>
      <c r="J161" s="11" t="s">
        <v>1182</v>
      </c>
      <c r="K161" s="11" t="s">
        <v>1183</v>
      </c>
      <c r="L161" s="11" t="s">
        <v>86</v>
      </c>
      <c r="M161" s="20" t="s">
        <v>87</v>
      </c>
      <c r="N161" s="20" t="s">
        <v>86</v>
      </c>
      <c r="O161" s="20" t="s">
        <v>86</v>
      </c>
      <c r="P161" s="21"/>
      <c r="Q161" s="12" t="s">
        <v>86</v>
      </c>
    </row>
    <row r="162" ht="68" customHeight="1" spans="1:17">
      <c r="A162" s="19" t="s">
        <v>1184</v>
      </c>
      <c r="B162" s="11" t="s">
        <v>55</v>
      </c>
      <c r="C162" s="11" t="s">
        <v>1185</v>
      </c>
      <c r="D162" s="11" t="s">
        <v>1186</v>
      </c>
      <c r="E162" s="20" t="s">
        <v>36</v>
      </c>
      <c r="F162" s="20" t="s">
        <v>91</v>
      </c>
      <c r="G162" s="11" t="s">
        <v>1187</v>
      </c>
      <c r="H162" s="11" t="s">
        <v>82</v>
      </c>
      <c r="I162" s="11" t="s">
        <v>1188</v>
      </c>
      <c r="J162" s="11" t="s">
        <v>1189</v>
      </c>
      <c r="K162" s="11" t="s">
        <v>1190</v>
      </c>
      <c r="L162" s="11" t="s">
        <v>86</v>
      </c>
      <c r="M162" s="20" t="s">
        <v>87</v>
      </c>
      <c r="N162" s="20" t="s">
        <v>86</v>
      </c>
      <c r="O162" s="20" t="s">
        <v>86</v>
      </c>
      <c r="P162" s="21"/>
      <c r="Q162" s="12" t="s">
        <v>86</v>
      </c>
    </row>
    <row r="163" ht="68" customHeight="1" spans="1:17">
      <c r="A163" s="19" t="s">
        <v>1191</v>
      </c>
      <c r="B163" s="11" t="s">
        <v>56</v>
      </c>
      <c r="C163" s="11" t="s">
        <v>1192</v>
      </c>
      <c r="D163" s="11" t="s">
        <v>1193</v>
      </c>
      <c r="E163" s="20" t="s">
        <v>36</v>
      </c>
      <c r="F163" s="20" t="s">
        <v>1045</v>
      </c>
      <c r="G163" s="11" t="s">
        <v>1194</v>
      </c>
      <c r="H163" s="11" t="s">
        <v>82</v>
      </c>
      <c r="I163" s="11" t="s">
        <v>1195</v>
      </c>
      <c r="J163" s="11" t="s">
        <v>1196</v>
      </c>
      <c r="K163" s="11" t="s">
        <v>1197</v>
      </c>
      <c r="L163" s="11" t="s">
        <v>86</v>
      </c>
      <c r="M163" s="20" t="s">
        <v>87</v>
      </c>
      <c r="N163" s="20" t="s">
        <v>86</v>
      </c>
      <c r="O163" s="20" t="s">
        <v>86</v>
      </c>
      <c r="P163" s="21"/>
      <c r="Q163" s="12" t="s">
        <v>86</v>
      </c>
    </row>
    <row r="164" ht="68" customHeight="1" spans="1:17">
      <c r="A164" s="19" t="s">
        <v>1198</v>
      </c>
      <c r="B164" s="11" t="s">
        <v>56</v>
      </c>
      <c r="C164" s="11" t="s">
        <v>1199</v>
      </c>
      <c r="D164" s="11" t="s">
        <v>1200</v>
      </c>
      <c r="E164" s="20" t="s">
        <v>36</v>
      </c>
      <c r="F164" s="20" t="s">
        <v>1045</v>
      </c>
      <c r="G164" s="11" t="s">
        <v>1201</v>
      </c>
      <c r="H164" s="11" t="s">
        <v>82</v>
      </c>
      <c r="I164" s="11" t="s">
        <v>1202</v>
      </c>
      <c r="J164" s="11" t="s">
        <v>1203</v>
      </c>
      <c r="K164" s="11" t="s">
        <v>1197</v>
      </c>
      <c r="L164" s="11" t="s">
        <v>86</v>
      </c>
      <c r="M164" s="20" t="s">
        <v>87</v>
      </c>
      <c r="N164" s="20" t="s">
        <v>86</v>
      </c>
      <c r="O164" s="20" t="s">
        <v>86</v>
      </c>
      <c r="P164" s="21"/>
      <c r="Q164" s="12" t="s">
        <v>86</v>
      </c>
    </row>
    <row r="165" ht="68" customHeight="1" spans="1:17">
      <c r="A165" s="19" t="s">
        <v>1204</v>
      </c>
      <c r="B165" s="11" t="s">
        <v>56</v>
      </c>
      <c r="C165" s="11" t="s">
        <v>1205</v>
      </c>
      <c r="D165" s="11" t="s">
        <v>1206</v>
      </c>
      <c r="E165" s="20" t="s">
        <v>34</v>
      </c>
      <c r="F165" s="20" t="s">
        <v>1045</v>
      </c>
      <c r="G165" s="11" t="s">
        <v>1207</v>
      </c>
      <c r="H165" s="11" t="s">
        <v>82</v>
      </c>
      <c r="I165" s="11" t="s">
        <v>1208</v>
      </c>
      <c r="J165" s="11" t="s">
        <v>1209</v>
      </c>
      <c r="K165" s="11" t="s">
        <v>1210</v>
      </c>
      <c r="L165" s="11" t="s">
        <v>86</v>
      </c>
      <c r="M165" s="20" t="s">
        <v>87</v>
      </c>
      <c r="N165" s="20" t="s">
        <v>86</v>
      </c>
      <c r="O165" s="20" t="s">
        <v>86</v>
      </c>
      <c r="P165" s="21"/>
      <c r="Q165" s="12" t="s">
        <v>86</v>
      </c>
    </row>
    <row r="166" ht="68" customHeight="1" spans="1:17">
      <c r="A166" s="19" t="s">
        <v>1211</v>
      </c>
      <c r="B166" s="11" t="s">
        <v>56</v>
      </c>
      <c r="C166" s="11" t="s">
        <v>1212</v>
      </c>
      <c r="D166" s="11" t="s">
        <v>1213</v>
      </c>
      <c r="E166" s="20" t="s">
        <v>36</v>
      </c>
      <c r="F166" s="20" t="s">
        <v>1045</v>
      </c>
      <c r="G166" s="11" t="s">
        <v>1214</v>
      </c>
      <c r="H166" s="11" t="s">
        <v>82</v>
      </c>
      <c r="I166" s="11" t="s">
        <v>1215</v>
      </c>
      <c r="J166" s="11" t="s">
        <v>1216</v>
      </c>
      <c r="K166" s="11" t="s">
        <v>1217</v>
      </c>
      <c r="L166" s="11" t="s">
        <v>86</v>
      </c>
      <c r="M166" s="20" t="s">
        <v>87</v>
      </c>
      <c r="N166" s="20" t="s">
        <v>86</v>
      </c>
      <c r="O166" s="20" t="s">
        <v>86</v>
      </c>
      <c r="P166" s="21"/>
      <c r="Q166" s="12" t="s">
        <v>86</v>
      </c>
    </row>
    <row r="167" ht="68" customHeight="1" spans="1:17">
      <c r="A167" s="19" t="s">
        <v>1218</v>
      </c>
      <c r="B167" s="11" t="s">
        <v>56</v>
      </c>
      <c r="C167" s="11" t="s">
        <v>1219</v>
      </c>
      <c r="D167" s="11" t="s">
        <v>1220</v>
      </c>
      <c r="E167" s="20" t="s">
        <v>34</v>
      </c>
      <c r="F167" s="20" t="s">
        <v>91</v>
      </c>
      <c r="G167" s="11" t="s">
        <v>1221</v>
      </c>
      <c r="H167" s="11" t="s">
        <v>82</v>
      </c>
      <c r="I167" s="11" t="s">
        <v>1222</v>
      </c>
      <c r="J167" s="11" t="s">
        <v>1223</v>
      </c>
      <c r="K167" s="11" t="s">
        <v>1224</v>
      </c>
      <c r="L167" s="11" t="s">
        <v>86</v>
      </c>
      <c r="M167" s="20" t="s">
        <v>87</v>
      </c>
      <c r="N167" s="20" t="s">
        <v>86</v>
      </c>
      <c r="O167" s="20" t="s">
        <v>86</v>
      </c>
      <c r="P167" s="21"/>
      <c r="Q167" s="12" t="s">
        <v>86</v>
      </c>
    </row>
    <row r="168" ht="68" customHeight="1" spans="1:17">
      <c r="A168" s="19" t="s">
        <v>1225</v>
      </c>
      <c r="B168" s="11" t="s">
        <v>56</v>
      </c>
      <c r="C168" s="11" t="s">
        <v>1226</v>
      </c>
      <c r="D168" s="11" t="s">
        <v>1227</v>
      </c>
      <c r="E168" s="20" t="s">
        <v>36</v>
      </c>
      <c r="F168" s="20" t="s">
        <v>91</v>
      </c>
      <c r="G168" s="11" t="s">
        <v>1228</v>
      </c>
      <c r="H168" s="11" t="s">
        <v>82</v>
      </c>
      <c r="I168" s="11" t="s">
        <v>1229</v>
      </c>
      <c r="J168" s="11" t="s">
        <v>1230</v>
      </c>
      <c r="K168" s="11" t="s">
        <v>1231</v>
      </c>
      <c r="L168" s="11" t="s">
        <v>86</v>
      </c>
      <c r="M168" s="20" t="s">
        <v>87</v>
      </c>
      <c r="N168" s="20" t="s">
        <v>86</v>
      </c>
      <c r="O168" s="20" t="s">
        <v>86</v>
      </c>
      <c r="P168" s="21"/>
      <c r="Q168" s="12" t="s">
        <v>86</v>
      </c>
    </row>
    <row r="169" ht="68" customHeight="1" spans="1:17">
      <c r="A169" s="19" t="s">
        <v>1232</v>
      </c>
      <c r="B169" s="11" t="s">
        <v>56</v>
      </c>
      <c r="C169" s="11" t="s">
        <v>1233</v>
      </c>
      <c r="D169" s="11" t="s">
        <v>1234</v>
      </c>
      <c r="E169" s="20" t="s">
        <v>36</v>
      </c>
      <c r="F169" s="20" t="s">
        <v>1235</v>
      </c>
      <c r="G169" s="11" t="s">
        <v>1236</v>
      </c>
      <c r="H169" s="11" t="s">
        <v>82</v>
      </c>
      <c r="I169" s="11" t="s">
        <v>1237</v>
      </c>
      <c r="J169" s="11" t="s">
        <v>1238</v>
      </c>
      <c r="K169" s="11" t="s">
        <v>1239</v>
      </c>
      <c r="L169" s="11" t="s">
        <v>86</v>
      </c>
      <c r="M169" s="20" t="s">
        <v>87</v>
      </c>
      <c r="N169" s="20" t="s">
        <v>86</v>
      </c>
      <c r="O169" s="20" t="s">
        <v>86</v>
      </c>
      <c r="P169" s="21"/>
      <c r="Q169" s="12" t="s">
        <v>86</v>
      </c>
    </row>
    <row r="170" ht="68" customHeight="1" spans="1:17">
      <c r="A170" s="19" t="s">
        <v>1240</v>
      </c>
      <c r="B170" s="11" t="s">
        <v>56</v>
      </c>
      <c r="C170" s="11" t="s">
        <v>1241</v>
      </c>
      <c r="D170" s="11" t="s">
        <v>1242</v>
      </c>
      <c r="E170" s="20" t="s">
        <v>36</v>
      </c>
      <c r="F170" s="20" t="s">
        <v>80</v>
      </c>
      <c r="G170" s="11" t="s">
        <v>1243</v>
      </c>
      <c r="H170" s="11" t="s">
        <v>82</v>
      </c>
      <c r="I170" s="11" t="s">
        <v>1244</v>
      </c>
      <c r="J170" s="11" t="s">
        <v>1245</v>
      </c>
      <c r="K170" s="11" t="s">
        <v>1246</v>
      </c>
      <c r="L170" s="11" t="s">
        <v>86</v>
      </c>
      <c r="M170" s="20" t="s">
        <v>87</v>
      </c>
      <c r="N170" s="20" t="s">
        <v>86</v>
      </c>
      <c r="O170" s="20" t="s">
        <v>86</v>
      </c>
      <c r="P170" s="21"/>
      <c r="Q170" s="12" t="s">
        <v>86</v>
      </c>
    </row>
    <row r="171" ht="68" customHeight="1" spans="1:17">
      <c r="A171" s="19" t="s">
        <v>1247</v>
      </c>
      <c r="B171" s="11" t="s">
        <v>57</v>
      </c>
      <c r="C171" s="11" t="s">
        <v>1248</v>
      </c>
      <c r="D171" s="11" t="s">
        <v>1249</v>
      </c>
      <c r="E171" s="20" t="s">
        <v>36</v>
      </c>
      <c r="F171" s="20" t="s">
        <v>128</v>
      </c>
      <c r="G171" s="11" t="s">
        <v>1250</v>
      </c>
      <c r="H171" s="11" t="s">
        <v>82</v>
      </c>
      <c r="I171" s="11" t="s">
        <v>1251</v>
      </c>
      <c r="J171" s="11" t="s">
        <v>1252</v>
      </c>
      <c r="K171" s="11" t="s">
        <v>453</v>
      </c>
      <c r="L171" s="11" t="s">
        <v>86</v>
      </c>
      <c r="M171" s="20" t="s">
        <v>87</v>
      </c>
      <c r="N171" s="20" t="s">
        <v>86</v>
      </c>
      <c r="O171" s="20" t="s">
        <v>86</v>
      </c>
      <c r="P171" s="21"/>
      <c r="Q171" s="12" t="s">
        <v>86</v>
      </c>
    </row>
    <row r="172" ht="68" customHeight="1" spans="1:17">
      <c r="A172" s="19" t="s">
        <v>1253</v>
      </c>
      <c r="B172" s="11" t="s">
        <v>57</v>
      </c>
      <c r="C172" s="11" t="s">
        <v>1254</v>
      </c>
      <c r="D172" s="11" t="s">
        <v>1255</v>
      </c>
      <c r="E172" s="20" t="s">
        <v>34</v>
      </c>
      <c r="F172" s="20" t="s">
        <v>274</v>
      </c>
      <c r="G172" s="11" t="s">
        <v>1256</v>
      </c>
      <c r="H172" s="11" t="s">
        <v>82</v>
      </c>
      <c r="I172" s="11" t="s">
        <v>1257</v>
      </c>
      <c r="J172" s="11" t="s">
        <v>1258</v>
      </c>
      <c r="K172" s="11" t="s">
        <v>1259</v>
      </c>
      <c r="L172" s="11" t="s">
        <v>86</v>
      </c>
      <c r="M172" s="20" t="s">
        <v>87</v>
      </c>
      <c r="N172" s="20" t="s">
        <v>86</v>
      </c>
      <c r="O172" s="20" t="s">
        <v>86</v>
      </c>
      <c r="P172" s="21"/>
      <c r="Q172" s="12" t="s">
        <v>86</v>
      </c>
    </row>
    <row r="173" ht="68" customHeight="1" spans="1:17">
      <c r="A173" s="19" t="s">
        <v>1260</v>
      </c>
      <c r="B173" s="11" t="s">
        <v>57</v>
      </c>
      <c r="C173" s="11" t="s">
        <v>1261</v>
      </c>
      <c r="D173" s="11" t="s">
        <v>1262</v>
      </c>
      <c r="E173" s="20" t="s">
        <v>34</v>
      </c>
      <c r="F173" s="20" t="s">
        <v>549</v>
      </c>
      <c r="G173" s="11" t="s">
        <v>1263</v>
      </c>
      <c r="H173" s="11" t="s">
        <v>82</v>
      </c>
      <c r="I173" s="11" t="s">
        <v>1264</v>
      </c>
      <c r="J173" s="11" t="s">
        <v>1265</v>
      </c>
      <c r="K173" s="11" t="s">
        <v>1266</v>
      </c>
      <c r="L173" s="11" t="s">
        <v>86</v>
      </c>
      <c r="M173" s="20" t="s">
        <v>87</v>
      </c>
      <c r="N173" s="20" t="s">
        <v>86</v>
      </c>
      <c r="O173" s="20" t="s">
        <v>86</v>
      </c>
      <c r="P173" s="21"/>
      <c r="Q173" s="12" t="s">
        <v>86</v>
      </c>
    </row>
    <row r="174" ht="68" customHeight="1" spans="1:17">
      <c r="A174" s="19" t="s">
        <v>1267</v>
      </c>
      <c r="B174" s="11" t="s">
        <v>57</v>
      </c>
      <c r="C174" s="11" t="s">
        <v>1268</v>
      </c>
      <c r="D174" s="11" t="s">
        <v>1269</v>
      </c>
      <c r="E174" s="20" t="s">
        <v>34</v>
      </c>
      <c r="F174" s="20" t="s">
        <v>91</v>
      </c>
      <c r="G174" s="11" t="s">
        <v>1270</v>
      </c>
      <c r="H174" s="11" t="s">
        <v>82</v>
      </c>
      <c r="I174" s="11" t="s">
        <v>1271</v>
      </c>
      <c r="J174" s="11" t="s">
        <v>1272</v>
      </c>
      <c r="K174" s="11" t="s">
        <v>1273</v>
      </c>
      <c r="L174" s="11" t="s">
        <v>86</v>
      </c>
      <c r="M174" s="20" t="s">
        <v>87</v>
      </c>
      <c r="N174" s="20" t="s">
        <v>86</v>
      </c>
      <c r="O174" s="20" t="s">
        <v>86</v>
      </c>
      <c r="P174" s="21"/>
      <c r="Q174" s="12" t="s">
        <v>86</v>
      </c>
    </row>
    <row r="175" ht="68" customHeight="1" spans="1:17">
      <c r="A175" s="19" t="s">
        <v>1274</v>
      </c>
      <c r="B175" s="11" t="s">
        <v>57</v>
      </c>
      <c r="C175" s="11" t="s">
        <v>1275</v>
      </c>
      <c r="D175" s="11" t="s">
        <v>1276</v>
      </c>
      <c r="E175" s="20" t="s">
        <v>34</v>
      </c>
      <c r="F175" s="20" t="s">
        <v>274</v>
      </c>
      <c r="G175" s="11" t="s">
        <v>1277</v>
      </c>
      <c r="H175" s="11" t="s">
        <v>82</v>
      </c>
      <c r="I175" s="11" t="s">
        <v>1278</v>
      </c>
      <c r="J175" s="11" t="s">
        <v>1279</v>
      </c>
      <c r="K175" s="11" t="s">
        <v>1280</v>
      </c>
      <c r="L175" s="11" t="s">
        <v>86</v>
      </c>
      <c r="M175" s="20" t="s">
        <v>87</v>
      </c>
      <c r="N175" s="20" t="s">
        <v>86</v>
      </c>
      <c r="O175" s="20" t="s">
        <v>86</v>
      </c>
      <c r="P175" s="21"/>
      <c r="Q175" s="12" t="s">
        <v>86</v>
      </c>
    </row>
    <row r="176" ht="68" customHeight="1" spans="1:17">
      <c r="A176" s="19" t="s">
        <v>1281</v>
      </c>
      <c r="B176" s="11" t="s">
        <v>57</v>
      </c>
      <c r="C176" s="11" t="s">
        <v>1282</v>
      </c>
      <c r="D176" s="11" t="s">
        <v>1283</v>
      </c>
      <c r="E176" s="20" t="s">
        <v>34</v>
      </c>
      <c r="F176" s="20" t="s">
        <v>80</v>
      </c>
      <c r="G176" s="11" t="s">
        <v>1284</v>
      </c>
      <c r="H176" s="11" t="s">
        <v>82</v>
      </c>
      <c r="I176" s="11" t="s">
        <v>1285</v>
      </c>
      <c r="J176" s="11" t="s">
        <v>1286</v>
      </c>
      <c r="K176" s="11" t="s">
        <v>1287</v>
      </c>
      <c r="L176" s="11" t="s">
        <v>86</v>
      </c>
      <c r="M176" s="20" t="s">
        <v>87</v>
      </c>
      <c r="N176" s="20" t="s">
        <v>86</v>
      </c>
      <c r="O176" s="20" t="s">
        <v>86</v>
      </c>
      <c r="P176" s="21"/>
      <c r="Q176" s="12" t="s">
        <v>86</v>
      </c>
    </row>
    <row r="177" ht="68" customHeight="1" spans="1:17">
      <c r="A177" s="19" t="s">
        <v>1288</v>
      </c>
      <c r="B177" s="11" t="s">
        <v>57</v>
      </c>
      <c r="C177" s="11" t="s">
        <v>1289</v>
      </c>
      <c r="D177" s="11" t="s">
        <v>1290</v>
      </c>
      <c r="E177" s="20" t="s">
        <v>34</v>
      </c>
      <c r="F177" s="20" t="s">
        <v>549</v>
      </c>
      <c r="G177" s="11" t="s">
        <v>1291</v>
      </c>
      <c r="H177" s="11" t="s">
        <v>82</v>
      </c>
      <c r="I177" s="11" t="s">
        <v>1292</v>
      </c>
      <c r="J177" s="11" t="s">
        <v>1293</v>
      </c>
      <c r="K177" s="11" t="s">
        <v>1294</v>
      </c>
      <c r="L177" s="11" t="s">
        <v>86</v>
      </c>
      <c r="M177" s="20" t="s">
        <v>87</v>
      </c>
      <c r="N177" s="20" t="s">
        <v>86</v>
      </c>
      <c r="O177" s="20" t="s">
        <v>86</v>
      </c>
      <c r="P177" s="21"/>
      <c r="Q177" s="12" t="s">
        <v>86</v>
      </c>
    </row>
    <row r="178" ht="68" customHeight="1" spans="1:17">
      <c r="A178" s="19" t="s">
        <v>1295</v>
      </c>
      <c r="B178" s="11" t="s">
        <v>57</v>
      </c>
      <c r="C178" s="11" t="s">
        <v>1296</v>
      </c>
      <c r="D178" s="11" t="s">
        <v>1297</v>
      </c>
      <c r="E178" s="20" t="s">
        <v>34</v>
      </c>
      <c r="F178" s="20" t="s">
        <v>91</v>
      </c>
      <c r="G178" s="11" t="s">
        <v>1298</v>
      </c>
      <c r="H178" s="11" t="s">
        <v>82</v>
      </c>
      <c r="I178" s="11" t="s">
        <v>1299</v>
      </c>
      <c r="J178" s="11" t="s">
        <v>1300</v>
      </c>
      <c r="K178" s="11" t="s">
        <v>616</v>
      </c>
      <c r="L178" s="11" t="s">
        <v>86</v>
      </c>
      <c r="M178" s="20" t="s">
        <v>87</v>
      </c>
      <c r="N178" s="20" t="s">
        <v>86</v>
      </c>
      <c r="O178" s="20" t="s">
        <v>86</v>
      </c>
      <c r="P178" s="21"/>
      <c r="Q178" s="12" t="s">
        <v>86</v>
      </c>
    </row>
    <row r="179" ht="68" customHeight="1" spans="1:17">
      <c r="A179" s="19" t="s">
        <v>1301</v>
      </c>
      <c r="B179" s="11" t="s">
        <v>57</v>
      </c>
      <c r="C179" s="11" t="s">
        <v>1302</v>
      </c>
      <c r="D179" s="11" t="s">
        <v>1303</v>
      </c>
      <c r="E179" s="20" t="s">
        <v>34</v>
      </c>
      <c r="F179" s="20" t="s">
        <v>80</v>
      </c>
      <c r="G179" s="11" t="s">
        <v>1304</v>
      </c>
      <c r="H179" s="11" t="s">
        <v>82</v>
      </c>
      <c r="I179" s="11" t="s">
        <v>1305</v>
      </c>
      <c r="J179" s="11" t="s">
        <v>1306</v>
      </c>
      <c r="K179" s="11" t="s">
        <v>1307</v>
      </c>
      <c r="L179" s="11" t="s">
        <v>86</v>
      </c>
      <c r="M179" s="20" t="s">
        <v>87</v>
      </c>
      <c r="N179" s="20" t="s">
        <v>86</v>
      </c>
      <c r="O179" s="20" t="s">
        <v>86</v>
      </c>
      <c r="P179" s="21"/>
      <c r="Q179" s="12" t="s">
        <v>86</v>
      </c>
    </row>
    <row r="180" ht="68" customHeight="1" spans="1:17">
      <c r="A180" s="19" t="s">
        <v>1308</v>
      </c>
      <c r="B180" s="11" t="s">
        <v>57</v>
      </c>
      <c r="C180" s="11" t="s">
        <v>1309</v>
      </c>
      <c r="D180" s="11" t="s">
        <v>1310</v>
      </c>
      <c r="E180" s="20" t="s">
        <v>34</v>
      </c>
      <c r="F180" s="20" t="s">
        <v>80</v>
      </c>
      <c r="G180" s="11" t="s">
        <v>1311</v>
      </c>
      <c r="H180" s="11" t="s">
        <v>82</v>
      </c>
      <c r="I180" s="11" t="s">
        <v>1312</v>
      </c>
      <c r="J180" s="11" t="s">
        <v>1313</v>
      </c>
      <c r="K180" s="11" t="s">
        <v>1314</v>
      </c>
      <c r="L180" s="11" t="s">
        <v>86</v>
      </c>
      <c r="M180" s="20" t="s">
        <v>87</v>
      </c>
      <c r="N180" s="20" t="s">
        <v>86</v>
      </c>
      <c r="O180" s="20" t="s">
        <v>86</v>
      </c>
      <c r="P180" s="21"/>
      <c r="Q180" s="12" t="s">
        <v>86</v>
      </c>
    </row>
    <row r="181" ht="68" customHeight="1" spans="1:17">
      <c r="A181" s="19" t="s">
        <v>1315</v>
      </c>
      <c r="B181" s="11" t="s">
        <v>57</v>
      </c>
      <c r="C181" s="11" t="s">
        <v>1316</v>
      </c>
      <c r="D181" s="11" t="s">
        <v>1317</v>
      </c>
      <c r="E181" s="20" t="s">
        <v>36</v>
      </c>
      <c r="F181" s="20" t="s">
        <v>266</v>
      </c>
      <c r="G181" s="11" t="s">
        <v>1318</v>
      </c>
      <c r="H181" s="11" t="s">
        <v>82</v>
      </c>
      <c r="I181" s="11" t="s">
        <v>1319</v>
      </c>
      <c r="J181" s="11" t="s">
        <v>1320</v>
      </c>
      <c r="K181" s="11" t="s">
        <v>1321</v>
      </c>
      <c r="L181" s="11" t="s">
        <v>86</v>
      </c>
      <c r="M181" s="20" t="s">
        <v>87</v>
      </c>
      <c r="N181" s="20" t="s">
        <v>86</v>
      </c>
      <c r="O181" s="20" t="s">
        <v>86</v>
      </c>
      <c r="P181" s="21"/>
      <c r="Q181" s="12" t="s">
        <v>86</v>
      </c>
    </row>
    <row r="182" ht="68" customHeight="1" spans="1:17">
      <c r="A182" s="19" t="s">
        <v>1322</v>
      </c>
      <c r="B182" s="11" t="s">
        <v>57</v>
      </c>
      <c r="C182" s="11" t="s">
        <v>1323</v>
      </c>
      <c r="D182" s="11" t="s">
        <v>1324</v>
      </c>
      <c r="E182" s="20" t="s">
        <v>34</v>
      </c>
      <c r="F182" s="20" t="s">
        <v>120</v>
      </c>
      <c r="G182" s="11" t="s">
        <v>1325</v>
      </c>
      <c r="H182" s="11" t="s">
        <v>82</v>
      </c>
      <c r="I182" s="11" t="s">
        <v>1326</v>
      </c>
      <c r="J182" s="11" t="s">
        <v>1327</v>
      </c>
      <c r="K182" s="11" t="s">
        <v>1328</v>
      </c>
      <c r="L182" s="11" t="s">
        <v>86</v>
      </c>
      <c r="M182" s="20" t="s">
        <v>87</v>
      </c>
      <c r="N182" s="20" t="s">
        <v>86</v>
      </c>
      <c r="O182" s="20" t="s">
        <v>86</v>
      </c>
      <c r="P182" s="21"/>
      <c r="Q182" s="12" t="s">
        <v>86</v>
      </c>
    </row>
    <row r="183" ht="68" customHeight="1" spans="1:17">
      <c r="A183" s="19" t="s">
        <v>1329</v>
      </c>
      <c r="B183" s="11" t="s">
        <v>57</v>
      </c>
      <c r="C183" s="11" t="s">
        <v>1330</v>
      </c>
      <c r="D183" s="11" t="s">
        <v>1331</v>
      </c>
      <c r="E183" s="20" t="s">
        <v>34</v>
      </c>
      <c r="F183" s="20" t="s">
        <v>120</v>
      </c>
      <c r="G183" s="11" t="s">
        <v>1332</v>
      </c>
      <c r="H183" s="11" t="s">
        <v>82</v>
      </c>
      <c r="I183" s="11" t="s">
        <v>1333</v>
      </c>
      <c r="J183" s="11" t="s">
        <v>1334</v>
      </c>
      <c r="K183" s="11" t="s">
        <v>1328</v>
      </c>
      <c r="L183" s="11" t="s">
        <v>86</v>
      </c>
      <c r="M183" s="20" t="s">
        <v>87</v>
      </c>
      <c r="N183" s="20" t="s">
        <v>86</v>
      </c>
      <c r="O183" s="20" t="s">
        <v>86</v>
      </c>
      <c r="P183" s="21"/>
      <c r="Q183" s="12" t="s">
        <v>86</v>
      </c>
    </row>
    <row r="184" ht="68" customHeight="1" spans="1:17">
      <c r="A184" s="19" t="s">
        <v>1335</v>
      </c>
      <c r="B184" s="11" t="s">
        <v>57</v>
      </c>
      <c r="C184" s="11" t="s">
        <v>1336</v>
      </c>
      <c r="D184" s="11" t="s">
        <v>1337</v>
      </c>
      <c r="E184" s="20" t="s">
        <v>34</v>
      </c>
      <c r="F184" s="20" t="s">
        <v>91</v>
      </c>
      <c r="G184" s="11" t="s">
        <v>1338</v>
      </c>
      <c r="H184" s="11" t="s">
        <v>82</v>
      </c>
      <c r="I184" s="11" t="s">
        <v>1339</v>
      </c>
      <c r="J184" s="11" t="s">
        <v>1340</v>
      </c>
      <c r="K184" s="11" t="s">
        <v>1341</v>
      </c>
      <c r="L184" s="11" t="s">
        <v>86</v>
      </c>
      <c r="M184" s="20" t="s">
        <v>87</v>
      </c>
      <c r="N184" s="20" t="s">
        <v>86</v>
      </c>
      <c r="O184" s="20" t="s">
        <v>86</v>
      </c>
      <c r="P184" s="21"/>
      <c r="Q184" s="12" t="s">
        <v>86</v>
      </c>
    </row>
    <row r="185" ht="68" customHeight="1" spans="1:17">
      <c r="A185" s="19" t="s">
        <v>1342</v>
      </c>
      <c r="B185" s="11" t="s">
        <v>57</v>
      </c>
      <c r="C185" s="11" t="s">
        <v>1343</v>
      </c>
      <c r="D185" s="11" t="s">
        <v>1344</v>
      </c>
      <c r="E185" s="20" t="s">
        <v>34</v>
      </c>
      <c r="F185" s="20" t="s">
        <v>80</v>
      </c>
      <c r="G185" s="11" t="s">
        <v>1345</v>
      </c>
      <c r="H185" s="11" t="s">
        <v>82</v>
      </c>
      <c r="I185" s="11" t="s">
        <v>1346</v>
      </c>
      <c r="J185" s="11" t="s">
        <v>1347</v>
      </c>
      <c r="K185" s="11" t="s">
        <v>1348</v>
      </c>
      <c r="L185" s="11" t="s">
        <v>86</v>
      </c>
      <c r="M185" s="20" t="s">
        <v>87</v>
      </c>
      <c r="N185" s="20" t="s">
        <v>86</v>
      </c>
      <c r="O185" s="20" t="s">
        <v>86</v>
      </c>
      <c r="P185" s="21"/>
      <c r="Q185" s="12" t="s">
        <v>86</v>
      </c>
    </row>
    <row r="186" ht="68" customHeight="1" spans="1:17">
      <c r="A186" s="19" t="s">
        <v>1349</v>
      </c>
      <c r="B186" s="11" t="s">
        <v>57</v>
      </c>
      <c r="C186" s="11" t="s">
        <v>1350</v>
      </c>
      <c r="D186" s="11" t="s">
        <v>1351</v>
      </c>
      <c r="E186" s="20" t="s">
        <v>34</v>
      </c>
      <c r="F186" s="20" t="s">
        <v>80</v>
      </c>
      <c r="G186" s="11" t="s">
        <v>1352</v>
      </c>
      <c r="H186" s="11" t="s">
        <v>82</v>
      </c>
      <c r="I186" s="11" t="s">
        <v>1353</v>
      </c>
      <c r="J186" s="11" t="s">
        <v>1354</v>
      </c>
      <c r="K186" s="11" t="s">
        <v>1355</v>
      </c>
      <c r="L186" s="11" t="s">
        <v>86</v>
      </c>
      <c r="M186" s="20" t="s">
        <v>87</v>
      </c>
      <c r="N186" s="20" t="s">
        <v>86</v>
      </c>
      <c r="O186" s="20" t="s">
        <v>86</v>
      </c>
      <c r="P186" s="21"/>
      <c r="Q186" s="12" t="s">
        <v>86</v>
      </c>
    </row>
    <row r="187" ht="68" customHeight="1" spans="1:17">
      <c r="A187" s="19" t="s">
        <v>1356</v>
      </c>
      <c r="B187" s="11" t="s">
        <v>57</v>
      </c>
      <c r="C187" s="11" t="s">
        <v>1357</v>
      </c>
      <c r="D187" s="11" t="s">
        <v>1358</v>
      </c>
      <c r="E187" s="20" t="s">
        <v>34</v>
      </c>
      <c r="F187" s="20" t="s">
        <v>152</v>
      </c>
      <c r="G187" s="11" t="s">
        <v>1359</v>
      </c>
      <c r="H187" s="11" t="s">
        <v>82</v>
      </c>
      <c r="I187" s="11" t="s">
        <v>1360</v>
      </c>
      <c r="J187" s="11" t="s">
        <v>1361</v>
      </c>
      <c r="K187" s="11" t="s">
        <v>1362</v>
      </c>
      <c r="L187" s="11" t="s">
        <v>86</v>
      </c>
      <c r="M187" s="20" t="s">
        <v>87</v>
      </c>
      <c r="N187" s="20" t="s">
        <v>86</v>
      </c>
      <c r="O187" s="20" t="s">
        <v>86</v>
      </c>
      <c r="P187" s="21"/>
      <c r="Q187" s="12" t="s">
        <v>86</v>
      </c>
    </row>
    <row r="188" ht="68" customHeight="1" spans="1:17">
      <c r="A188" s="19" t="s">
        <v>1363</v>
      </c>
      <c r="B188" s="11" t="s">
        <v>57</v>
      </c>
      <c r="C188" s="11" t="s">
        <v>1364</v>
      </c>
      <c r="D188" s="11" t="s">
        <v>1365</v>
      </c>
      <c r="E188" s="20" t="s">
        <v>36</v>
      </c>
      <c r="F188" s="20" t="s">
        <v>128</v>
      </c>
      <c r="G188" s="11" t="s">
        <v>1366</v>
      </c>
      <c r="H188" s="11" t="s">
        <v>82</v>
      </c>
      <c r="I188" s="11" t="s">
        <v>1367</v>
      </c>
      <c r="J188" s="11" t="s">
        <v>1368</v>
      </c>
      <c r="K188" s="11" t="s">
        <v>1369</v>
      </c>
      <c r="L188" s="11" t="s">
        <v>86</v>
      </c>
      <c r="M188" s="20" t="s">
        <v>87</v>
      </c>
      <c r="N188" s="20" t="s">
        <v>86</v>
      </c>
      <c r="O188" s="20" t="s">
        <v>86</v>
      </c>
      <c r="P188" s="21"/>
      <c r="Q188" s="12" t="s">
        <v>86</v>
      </c>
    </row>
    <row r="189" ht="68" customHeight="1" spans="1:17">
      <c r="A189" s="19" t="s">
        <v>1370</v>
      </c>
      <c r="B189" s="11" t="s">
        <v>57</v>
      </c>
      <c r="C189" s="11" t="s">
        <v>1371</v>
      </c>
      <c r="D189" s="11" t="s">
        <v>1372</v>
      </c>
      <c r="E189" s="20" t="s">
        <v>34</v>
      </c>
      <c r="F189" s="20" t="s">
        <v>80</v>
      </c>
      <c r="G189" s="11" t="s">
        <v>1373</v>
      </c>
      <c r="H189" s="11" t="s">
        <v>82</v>
      </c>
      <c r="I189" s="11" t="s">
        <v>1374</v>
      </c>
      <c r="J189" s="11" t="s">
        <v>1375</v>
      </c>
      <c r="K189" s="11" t="s">
        <v>1376</v>
      </c>
      <c r="L189" s="11" t="s">
        <v>86</v>
      </c>
      <c r="M189" s="20" t="s">
        <v>87</v>
      </c>
      <c r="N189" s="20" t="s">
        <v>86</v>
      </c>
      <c r="O189" s="20" t="s">
        <v>86</v>
      </c>
      <c r="P189" s="21"/>
      <c r="Q189" s="12" t="s">
        <v>86</v>
      </c>
    </row>
    <row r="190" ht="68" customHeight="1" spans="1:17">
      <c r="A190" s="19" t="s">
        <v>1377</v>
      </c>
      <c r="B190" s="11" t="s">
        <v>57</v>
      </c>
      <c r="C190" s="11" t="s">
        <v>1378</v>
      </c>
      <c r="D190" s="11" t="s">
        <v>1379</v>
      </c>
      <c r="E190" s="20" t="s">
        <v>34</v>
      </c>
      <c r="F190" s="20" t="s">
        <v>549</v>
      </c>
      <c r="G190" s="11" t="s">
        <v>1380</v>
      </c>
      <c r="H190" s="11" t="s">
        <v>82</v>
      </c>
      <c r="I190" s="11" t="s">
        <v>1381</v>
      </c>
      <c r="J190" s="11" t="s">
        <v>1382</v>
      </c>
      <c r="K190" s="11" t="s">
        <v>1383</v>
      </c>
      <c r="L190" s="11" t="s">
        <v>86</v>
      </c>
      <c r="M190" s="20" t="s">
        <v>87</v>
      </c>
      <c r="N190" s="20" t="s">
        <v>86</v>
      </c>
      <c r="O190" s="20" t="s">
        <v>86</v>
      </c>
      <c r="P190" s="21"/>
      <c r="Q190" s="12" t="s">
        <v>86</v>
      </c>
    </row>
    <row r="191" ht="68" customHeight="1" spans="1:17">
      <c r="A191" s="19" t="s">
        <v>1384</v>
      </c>
      <c r="B191" s="11" t="s">
        <v>57</v>
      </c>
      <c r="C191" s="11" t="s">
        <v>1385</v>
      </c>
      <c r="D191" s="11" t="s">
        <v>1386</v>
      </c>
      <c r="E191" s="20" t="s">
        <v>34</v>
      </c>
      <c r="F191" s="20" t="s">
        <v>549</v>
      </c>
      <c r="G191" s="11" t="s">
        <v>1387</v>
      </c>
      <c r="H191" s="11" t="s">
        <v>82</v>
      </c>
      <c r="I191" s="11" t="s">
        <v>1388</v>
      </c>
      <c r="J191" s="11" t="s">
        <v>1389</v>
      </c>
      <c r="K191" s="11" t="s">
        <v>1390</v>
      </c>
      <c r="L191" s="11" t="s">
        <v>86</v>
      </c>
      <c r="M191" s="20" t="s">
        <v>87</v>
      </c>
      <c r="N191" s="20" t="s">
        <v>86</v>
      </c>
      <c r="O191" s="20" t="s">
        <v>86</v>
      </c>
      <c r="P191" s="21"/>
      <c r="Q191" s="12" t="s">
        <v>86</v>
      </c>
    </row>
    <row r="192" ht="68" customHeight="1" spans="1:17">
      <c r="A192" s="19" t="s">
        <v>1391</v>
      </c>
      <c r="B192" s="11" t="s">
        <v>57</v>
      </c>
      <c r="C192" s="11" t="s">
        <v>1392</v>
      </c>
      <c r="D192" s="11" t="s">
        <v>1393</v>
      </c>
      <c r="E192" s="20" t="s">
        <v>34</v>
      </c>
      <c r="F192" s="20" t="s">
        <v>91</v>
      </c>
      <c r="G192" s="11" t="s">
        <v>1394</v>
      </c>
      <c r="H192" s="11" t="s">
        <v>82</v>
      </c>
      <c r="I192" s="11" t="s">
        <v>1395</v>
      </c>
      <c r="J192" s="11" t="s">
        <v>1396</v>
      </c>
      <c r="K192" s="11" t="s">
        <v>1397</v>
      </c>
      <c r="L192" s="11" t="s">
        <v>86</v>
      </c>
      <c r="M192" s="20" t="s">
        <v>87</v>
      </c>
      <c r="N192" s="20" t="s">
        <v>86</v>
      </c>
      <c r="O192" s="20" t="s">
        <v>86</v>
      </c>
      <c r="P192" s="21"/>
      <c r="Q192" s="12" t="s">
        <v>86</v>
      </c>
    </row>
    <row r="193" ht="68" customHeight="1" spans="1:17">
      <c r="A193" s="19" t="s">
        <v>1398</v>
      </c>
      <c r="B193" s="11" t="s">
        <v>57</v>
      </c>
      <c r="C193" s="11" t="s">
        <v>1399</v>
      </c>
      <c r="D193" s="11" t="s">
        <v>1400</v>
      </c>
      <c r="E193" s="20" t="s">
        <v>34</v>
      </c>
      <c r="F193" s="20" t="s">
        <v>549</v>
      </c>
      <c r="G193" s="11" t="s">
        <v>1401</v>
      </c>
      <c r="H193" s="11" t="s">
        <v>82</v>
      </c>
      <c r="I193" s="11" t="s">
        <v>1402</v>
      </c>
      <c r="J193" s="11" t="s">
        <v>1403</v>
      </c>
      <c r="K193" s="11" t="s">
        <v>1404</v>
      </c>
      <c r="L193" s="11" t="s">
        <v>86</v>
      </c>
      <c r="M193" s="20" t="s">
        <v>87</v>
      </c>
      <c r="N193" s="20" t="s">
        <v>86</v>
      </c>
      <c r="O193" s="20" t="s">
        <v>86</v>
      </c>
      <c r="P193" s="21"/>
      <c r="Q193" s="12" t="s">
        <v>86</v>
      </c>
    </row>
    <row r="194" ht="68" customHeight="1" spans="1:17">
      <c r="A194" s="19" t="s">
        <v>1405</v>
      </c>
      <c r="B194" s="11" t="s">
        <v>57</v>
      </c>
      <c r="C194" s="11" t="s">
        <v>1406</v>
      </c>
      <c r="D194" s="11" t="s">
        <v>1407</v>
      </c>
      <c r="E194" s="20" t="s">
        <v>34</v>
      </c>
      <c r="F194" s="20" t="s">
        <v>128</v>
      </c>
      <c r="G194" s="11" t="s">
        <v>1408</v>
      </c>
      <c r="H194" s="11" t="s">
        <v>82</v>
      </c>
      <c r="I194" s="11" t="s">
        <v>1409</v>
      </c>
      <c r="J194" s="11" t="s">
        <v>1410</v>
      </c>
      <c r="K194" s="11" t="s">
        <v>1411</v>
      </c>
      <c r="L194" s="11" t="s">
        <v>86</v>
      </c>
      <c r="M194" s="20" t="s">
        <v>87</v>
      </c>
      <c r="N194" s="20" t="s">
        <v>86</v>
      </c>
      <c r="O194" s="20" t="s">
        <v>86</v>
      </c>
      <c r="P194" s="21"/>
      <c r="Q194" s="12" t="s">
        <v>86</v>
      </c>
    </row>
    <row r="195" ht="68" customHeight="1" spans="1:17">
      <c r="A195" s="19" t="s">
        <v>1412</v>
      </c>
      <c r="B195" s="11" t="s">
        <v>57</v>
      </c>
      <c r="C195" s="11" t="s">
        <v>1413</v>
      </c>
      <c r="D195" s="11" t="s">
        <v>1414</v>
      </c>
      <c r="E195" s="20" t="s">
        <v>34</v>
      </c>
      <c r="F195" s="20" t="s">
        <v>80</v>
      </c>
      <c r="G195" s="11" t="s">
        <v>1415</v>
      </c>
      <c r="H195" s="11" t="s">
        <v>82</v>
      </c>
      <c r="I195" s="11" t="s">
        <v>1416</v>
      </c>
      <c r="J195" s="11" t="s">
        <v>1417</v>
      </c>
      <c r="K195" s="11" t="s">
        <v>1418</v>
      </c>
      <c r="L195" s="11" t="s">
        <v>86</v>
      </c>
      <c r="M195" s="20" t="s">
        <v>87</v>
      </c>
      <c r="N195" s="20" t="s">
        <v>86</v>
      </c>
      <c r="O195" s="20" t="s">
        <v>86</v>
      </c>
      <c r="P195" s="21"/>
      <c r="Q195" s="12" t="s">
        <v>86</v>
      </c>
    </row>
    <row r="196" ht="68" customHeight="1" spans="1:17">
      <c r="A196" s="19" t="s">
        <v>1419</v>
      </c>
      <c r="B196" s="11" t="s">
        <v>57</v>
      </c>
      <c r="C196" s="11" t="s">
        <v>1420</v>
      </c>
      <c r="D196" s="11" t="s">
        <v>1421</v>
      </c>
      <c r="E196" s="20" t="s">
        <v>34</v>
      </c>
      <c r="F196" s="20" t="s">
        <v>91</v>
      </c>
      <c r="G196" s="11" t="s">
        <v>1422</v>
      </c>
      <c r="H196" s="11" t="s">
        <v>82</v>
      </c>
      <c r="I196" s="11" t="s">
        <v>1423</v>
      </c>
      <c r="J196" s="11" t="s">
        <v>1424</v>
      </c>
      <c r="K196" s="11" t="s">
        <v>1425</v>
      </c>
      <c r="L196" s="11" t="s">
        <v>86</v>
      </c>
      <c r="M196" s="20" t="s">
        <v>87</v>
      </c>
      <c r="N196" s="20" t="s">
        <v>86</v>
      </c>
      <c r="O196" s="20" t="s">
        <v>86</v>
      </c>
      <c r="P196" s="21"/>
      <c r="Q196" s="12" t="s">
        <v>86</v>
      </c>
    </row>
    <row r="197" ht="68" customHeight="1" spans="1:17">
      <c r="A197" s="19" t="s">
        <v>1426</v>
      </c>
      <c r="B197" s="11" t="s">
        <v>57</v>
      </c>
      <c r="C197" s="11" t="s">
        <v>1427</v>
      </c>
      <c r="D197" s="11" t="s">
        <v>1428</v>
      </c>
      <c r="E197" s="20" t="s">
        <v>34</v>
      </c>
      <c r="F197" s="20" t="s">
        <v>80</v>
      </c>
      <c r="G197" s="11" t="s">
        <v>1429</v>
      </c>
      <c r="H197" s="11" t="s">
        <v>82</v>
      </c>
      <c r="I197" s="11" t="s">
        <v>1430</v>
      </c>
      <c r="J197" s="11" t="s">
        <v>1431</v>
      </c>
      <c r="K197" s="11" t="s">
        <v>1432</v>
      </c>
      <c r="L197" s="11" t="s">
        <v>86</v>
      </c>
      <c r="M197" s="20" t="s">
        <v>87</v>
      </c>
      <c r="N197" s="20" t="s">
        <v>86</v>
      </c>
      <c r="O197" s="20" t="s">
        <v>86</v>
      </c>
      <c r="P197" s="21"/>
      <c r="Q197" s="12" t="s">
        <v>86</v>
      </c>
    </row>
    <row r="198" ht="68" customHeight="1" spans="1:17">
      <c r="A198" s="19" t="s">
        <v>1433</v>
      </c>
      <c r="B198" s="11" t="s">
        <v>57</v>
      </c>
      <c r="C198" s="11" t="s">
        <v>1434</v>
      </c>
      <c r="D198" s="11" t="s">
        <v>1435</v>
      </c>
      <c r="E198" s="20" t="s">
        <v>34</v>
      </c>
      <c r="F198" s="20" t="s">
        <v>274</v>
      </c>
      <c r="G198" s="11" t="s">
        <v>1436</v>
      </c>
      <c r="H198" s="11" t="s">
        <v>82</v>
      </c>
      <c r="I198" s="11" t="s">
        <v>1437</v>
      </c>
      <c r="J198" s="11" t="s">
        <v>1438</v>
      </c>
      <c r="K198" s="11" t="s">
        <v>1439</v>
      </c>
      <c r="L198" s="11" t="s">
        <v>86</v>
      </c>
      <c r="M198" s="20" t="s">
        <v>87</v>
      </c>
      <c r="N198" s="20" t="s">
        <v>86</v>
      </c>
      <c r="O198" s="20" t="s">
        <v>86</v>
      </c>
      <c r="P198" s="21"/>
      <c r="Q198" s="12" t="s">
        <v>86</v>
      </c>
    </row>
    <row r="199" ht="68" customHeight="1" spans="1:17">
      <c r="A199" s="19" t="s">
        <v>1440</v>
      </c>
      <c r="B199" s="11" t="s">
        <v>57</v>
      </c>
      <c r="C199" s="11" t="s">
        <v>1441</v>
      </c>
      <c r="D199" s="11" t="s">
        <v>1442</v>
      </c>
      <c r="E199" s="20" t="s">
        <v>34</v>
      </c>
      <c r="F199" s="20" t="s">
        <v>274</v>
      </c>
      <c r="G199" s="11" t="s">
        <v>1443</v>
      </c>
      <c r="H199" s="11" t="s">
        <v>82</v>
      </c>
      <c r="I199" s="11" t="s">
        <v>1444</v>
      </c>
      <c r="J199" s="11" t="s">
        <v>1445</v>
      </c>
      <c r="K199" s="11" t="s">
        <v>1446</v>
      </c>
      <c r="L199" s="11" t="s">
        <v>86</v>
      </c>
      <c r="M199" s="20" t="s">
        <v>87</v>
      </c>
      <c r="N199" s="20" t="s">
        <v>86</v>
      </c>
      <c r="O199" s="20" t="s">
        <v>86</v>
      </c>
      <c r="P199" s="21"/>
      <c r="Q199" s="12" t="s">
        <v>86</v>
      </c>
    </row>
    <row r="200" ht="68" customHeight="1" spans="1:17">
      <c r="A200" s="19" t="s">
        <v>1447</v>
      </c>
      <c r="B200" s="11" t="s">
        <v>57</v>
      </c>
      <c r="C200" s="11" t="s">
        <v>1448</v>
      </c>
      <c r="D200" s="11" t="s">
        <v>1449</v>
      </c>
      <c r="E200" s="20" t="s">
        <v>34</v>
      </c>
      <c r="F200" s="20" t="s">
        <v>152</v>
      </c>
      <c r="G200" s="11" t="s">
        <v>1450</v>
      </c>
      <c r="H200" s="11" t="s">
        <v>82</v>
      </c>
      <c r="I200" s="11" t="s">
        <v>1451</v>
      </c>
      <c r="J200" s="11" t="s">
        <v>1452</v>
      </c>
      <c r="K200" s="11" t="s">
        <v>1453</v>
      </c>
      <c r="L200" s="11" t="s">
        <v>86</v>
      </c>
      <c r="M200" s="20" t="s">
        <v>87</v>
      </c>
      <c r="N200" s="20" t="s">
        <v>86</v>
      </c>
      <c r="O200" s="20" t="s">
        <v>86</v>
      </c>
      <c r="P200" s="21"/>
      <c r="Q200" s="12" t="s">
        <v>86</v>
      </c>
    </row>
    <row r="201" ht="68" customHeight="1" spans="1:17">
      <c r="A201" s="19" t="s">
        <v>1454</v>
      </c>
      <c r="B201" s="11" t="s">
        <v>57</v>
      </c>
      <c r="C201" s="11" t="s">
        <v>1455</v>
      </c>
      <c r="D201" s="11" t="s">
        <v>1456</v>
      </c>
      <c r="E201" s="20" t="s">
        <v>34</v>
      </c>
      <c r="F201" s="20" t="s">
        <v>152</v>
      </c>
      <c r="G201" s="11" t="s">
        <v>1457</v>
      </c>
      <c r="H201" s="11" t="s">
        <v>82</v>
      </c>
      <c r="I201" s="11" t="s">
        <v>1458</v>
      </c>
      <c r="J201" s="11" t="s">
        <v>1459</v>
      </c>
      <c r="K201" s="11" t="s">
        <v>1460</v>
      </c>
      <c r="L201" s="11" t="s">
        <v>86</v>
      </c>
      <c r="M201" s="20" t="s">
        <v>87</v>
      </c>
      <c r="N201" s="20" t="s">
        <v>86</v>
      </c>
      <c r="O201" s="20" t="s">
        <v>86</v>
      </c>
      <c r="P201" s="21"/>
      <c r="Q201" s="12" t="s">
        <v>86</v>
      </c>
    </row>
    <row r="202" ht="68" customHeight="1" spans="1:17">
      <c r="A202" s="19" t="s">
        <v>1461</v>
      </c>
      <c r="B202" s="11" t="s">
        <v>57</v>
      </c>
      <c r="C202" s="11" t="s">
        <v>1462</v>
      </c>
      <c r="D202" s="11" t="s">
        <v>1463</v>
      </c>
      <c r="E202" s="20" t="s">
        <v>36</v>
      </c>
      <c r="F202" s="20" t="s">
        <v>152</v>
      </c>
      <c r="G202" s="11" t="s">
        <v>1464</v>
      </c>
      <c r="H202" s="11" t="s">
        <v>82</v>
      </c>
      <c r="I202" s="11" t="s">
        <v>1465</v>
      </c>
      <c r="J202" s="11" t="s">
        <v>1466</v>
      </c>
      <c r="K202" s="11" t="s">
        <v>1467</v>
      </c>
      <c r="L202" s="11" t="s">
        <v>86</v>
      </c>
      <c r="M202" s="20" t="s">
        <v>87</v>
      </c>
      <c r="N202" s="20" t="s">
        <v>86</v>
      </c>
      <c r="O202" s="20" t="s">
        <v>86</v>
      </c>
      <c r="P202" s="21"/>
      <c r="Q202" s="12" t="s">
        <v>86</v>
      </c>
    </row>
    <row r="203" ht="68" customHeight="1" spans="1:17">
      <c r="A203" s="19" t="s">
        <v>1468</v>
      </c>
      <c r="B203" s="11" t="s">
        <v>57</v>
      </c>
      <c r="C203" s="11" t="s">
        <v>1469</v>
      </c>
      <c r="D203" s="11" t="s">
        <v>1470</v>
      </c>
      <c r="E203" s="20" t="s">
        <v>34</v>
      </c>
      <c r="F203" s="20" t="s">
        <v>152</v>
      </c>
      <c r="G203" s="11" t="s">
        <v>1471</v>
      </c>
      <c r="H203" s="11" t="s">
        <v>82</v>
      </c>
      <c r="I203" s="11" t="s">
        <v>1472</v>
      </c>
      <c r="J203" s="11" t="s">
        <v>1473</v>
      </c>
      <c r="K203" s="11" t="s">
        <v>1474</v>
      </c>
      <c r="L203" s="11" t="s">
        <v>86</v>
      </c>
      <c r="M203" s="20" t="s">
        <v>87</v>
      </c>
      <c r="N203" s="20" t="s">
        <v>86</v>
      </c>
      <c r="O203" s="20" t="s">
        <v>86</v>
      </c>
      <c r="P203" s="21"/>
      <c r="Q203" s="12" t="s">
        <v>86</v>
      </c>
    </row>
    <row r="204" ht="68" customHeight="1" spans="1:17">
      <c r="A204" s="19" t="s">
        <v>1475</v>
      </c>
      <c r="B204" s="11" t="s">
        <v>57</v>
      </c>
      <c r="C204" s="11" t="s">
        <v>1476</v>
      </c>
      <c r="D204" s="11" t="s">
        <v>1477</v>
      </c>
      <c r="E204" s="20" t="s">
        <v>36</v>
      </c>
      <c r="F204" s="20" t="s">
        <v>1478</v>
      </c>
      <c r="G204" s="11" t="s">
        <v>1479</v>
      </c>
      <c r="H204" s="11" t="s">
        <v>82</v>
      </c>
      <c r="I204" s="11" t="s">
        <v>1480</v>
      </c>
      <c r="J204" s="11" t="s">
        <v>1481</v>
      </c>
      <c r="K204" s="11" t="s">
        <v>1482</v>
      </c>
      <c r="L204" s="11" t="s">
        <v>86</v>
      </c>
      <c r="M204" s="20" t="s">
        <v>87</v>
      </c>
      <c r="N204" s="20" t="s">
        <v>86</v>
      </c>
      <c r="O204" s="20" t="s">
        <v>86</v>
      </c>
      <c r="P204" s="21"/>
      <c r="Q204" s="12" t="s">
        <v>86</v>
      </c>
    </row>
    <row r="205" ht="68" customHeight="1" spans="1:17">
      <c r="A205" s="19" t="s">
        <v>1483</v>
      </c>
      <c r="B205" s="11" t="s">
        <v>58</v>
      </c>
      <c r="C205" s="11" t="s">
        <v>1484</v>
      </c>
      <c r="D205" s="11" t="s">
        <v>1485</v>
      </c>
      <c r="E205" s="20" t="s">
        <v>34</v>
      </c>
      <c r="F205" s="20" t="s">
        <v>152</v>
      </c>
      <c r="G205" s="11" t="s">
        <v>1486</v>
      </c>
      <c r="H205" s="11" t="s">
        <v>82</v>
      </c>
      <c r="I205" s="11" t="s">
        <v>1487</v>
      </c>
      <c r="J205" s="11" t="s">
        <v>1488</v>
      </c>
      <c r="K205" s="11" t="s">
        <v>1489</v>
      </c>
      <c r="L205" s="11" t="s">
        <v>86</v>
      </c>
      <c r="M205" s="20" t="s">
        <v>87</v>
      </c>
      <c r="N205" s="20" t="s">
        <v>86</v>
      </c>
      <c r="O205" s="20" t="s">
        <v>86</v>
      </c>
      <c r="P205" s="21"/>
      <c r="Q205" s="12" t="s">
        <v>86</v>
      </c>
    </row>
    <row r="206" ht="68" customHeight="1" spans="1:17">
      <c r="A206" s="19" t="s">
        <v>1490</v>
      </c>
      <c r="B206" s="11" t="s">
        <v>58</v>
      </c>
      <c r="C206" s="11" t="s">
        <v>1491</v>
      </c>
      <c r="D206" s="11" t="s">
        <v>1492</v>
      </c>
      <c r="E206" s="20" t="s">
        <v>34</v>
      </c>
      <c r="F206" s="20" t="s">
        <v>491</v>
      </c>
      <c r="G206" s="11" t="s">
        <v>1493</v>
      </c>
      <c r="H206" s="11" t="s">
        <v>82</v>
      </c>
      <c r="I206" s="11" t="s">
        <v>1494</v>
      </c>
      <c r="J206" s="11" t="s">
        <v>1495</v>
      </c>
      <c r="K206" s="11" t="s">
        <v>943</v>
      </c>
      <c r="L206" s="11" t="s">
        <v>86</v>
      </c>
      <c r="M206" s="20" t="s">
        <v>87</v>
      </c>
      <c r="N206" s="20" t="s">
        <v>86</v>
      </c>
      <c r="O206" s="20" t="s">
        <v>86</v>
      </c>
      <c r="P206" s="21"/>
      <c r="Q206" s="12" t="s">
        <v>86</v>
      </c>
    </row>
    <row r="207" ht="68" customHeight="1" spans="1:17">
      <c r="A207" s="19" t="s">
        <v>1496</v>
      </c>
      <c r="B207" s="11" t="s">
        <v>58</v>
      </c>
      <c r="C207" s="11" t="s">
        <v>1497</v>
      </c>
      <c r="D207" s="11" t="s">
        <v>1498</v>
      </c>
      <c r="E207" s="20" t="s">
        <v>34</v>
      </c>
      <c r="F207" s="20" t="s">
        <v>699</v>
      </c>
      <c r="G207" s="11" t="s">
        <v>1499</v>
      </c>
      <c r="H207" s="11" t="s">
        <v>82</v>
      </c>
      <c r="I207" s="11" t="s">
        <v>1500</v>
      </c>
      <c r="J207" s="11" t="s">
        <v>1501</v>
      </c>
      <c r="K207" s="11" t="s">
        <v>1502</v>
      </c>
      <c r="L207" s="11" t="s">
        <v>86</v>
      </c>
      <c r="M207" s="20" t="s">
        <v>87</v>
      </c>
      <c r="N207" s="20" t="s">
        <v>86</v>
      </c>
      <c r="O207" s="20" t="s">
        <v>86</v>
      </c>
      <c r="P207" s="21"/>
      <c r="Q207" s="12" t="s">
        <v>86</v>
      </c>
    </row>
    <row r="208" ht="68" customHeight="1" spans="1:17">
      <c r="A208" s="19" t="s">
        <v>1503</v>
      </c>
      <c r="B208" s="11" t="s">
        <v>58</v>
      </c>
      <c r="C208" s="11" t="s">
        <v>1504</v>
      </c>
      <c r="D208" s="11" t="s">
        <v>1505</v>
      </c>
      <c r="E208" s="20" t="s">
        <v>34</v>
      </c>
      <c r="F208" s="20" t="s">
        <v>152</v>
      </c>
      <c r="G208" s="11" t="s">
        <v>1506</v>
      </c>
      <c r="H208" s="11" t="s">
        <v>82</v>
      </c>
      <c r="I208" s="11" t="s">
        <v>1507</v>
      </c>
      <c r="J208" s="11" t="s">
        <v>1508</v>
      </c>
      <c r="K208" s="11" t="s">
        <v>1509</v>
      </c>
      <c r="L208" s="11" t="s">
        <v>86</v>
      </c>
      <c r="M208" s="20" t="s">
        <v>87</v>
      </c>
      <c r="N208" s="20" t="s">
        <v>86</v>
      </c>
      <c r="O208" s="20" t="s">
        <v>86</v>
      </c>
      <c r="P208" s="21"/>
      <c r="Q208" s="12" t="s">
        <v>86</v>
      </c>
    </row>
    <row r="209" ht="68" customHeight="1" spans="1:17">
      <c r="A209" s="19" t="s">
        <v>1510</v>
      </c>
      <c r="B209" s="11" t="s">
        <v>58</v>
      </c>
      <c r="C209" s="11" t="s">
        <v>1511</v>
      </c>
      <c r="D209" s="11" t="s">
        <v>1512</v>
      </c>
      <c r="E209" s="20" t="s">
        <v>34</v>
      </c>
      <c r="F209" s="20" t="s">
        <v>144</v>
      </c>
      <c r="G209" s="11" t="s">
        <v>1513</v>
      </c>
      <c r="H209" s="11" t="s">
        <v>82</v>
      </c>
      <c r="I209" s="11" t="s">
        <v>1514</v>
      </c>
      <c r="J209" s="11" t="s">
        <v>1515</v>
      </c>
      <c r="K209" s="11" t="s">
        <v>1516</v>
      </c>
      <c r="L209" s="11" t="s">
        <v>86</v>
      </c>
      <c r="M209" s="20" t="s">
        <v>87</v>
      </c>
      <c r="N209" s="20" t="s">
        <v>86</v>
      </c>
      <c r="O209" s="20" t="s">
        <v>86</v>
      </c>
      <c r="P209" s="21"/>
      <c r="Q209" s="12" t="s">
        <v>86</v>
      </c>
    </row>
    <row r="210" ht="68" customHeight="1" spans="1:17">
      <c r="A210" s="19" t="s">
        <v>1517</v>
      </c>
      <c r="B210" s="11" t="s">
        <v>58</v>
      </c>
      <c r="C210" s="11" t="s">
        <v>1518</v>
      </c>
      <c r="D210" s="11" t="s">
        <v>1519</v>
      </c>
      <c r="E210" s="20" t="s">
        <v>34</v>
      </c>
      <c r="F210" s="20" t="s">
        <v>144</v>
      </c>
      <c r="G210" s="11" t="s">
        <v>1520</v>
      </c>
      <c r="H210" s="11" t="s">
        <v>82</v>
      </c>
      <c r="I210" s="11" t="s">
        <v>1521</v>
      </c>
      <c r="J210" s="11" t="s">
        <v>1522</v>
      </c>
      <c r="K210" s="11" t="s">
        <v>1523</v>
      </c>
      <c r="L210" s="11" t="s">
        <v>86</v>
      </c>
      <c r="M210" s="20" t="s">
        <v>87</v>
      </c>
      <c r="N210" s="20" t="s">
        <v>86</v>
      </c>
      <c r="O210" s="20" t="s">
        <v>86</v>
      </c>
      <c r="P210" s="21"/>
      <c r="Q210" s="12" t="s">
        <v>86</v>
      </c>
    </row>
    <row r="211" ht="68" customHeight="1" spans="1:17">
      <c r="A211" s="19" t="s">
        <v>1524</v>
      </c>
      <c r="B211" s="11" t="s">
        <v>59</v>
      </c>
      <c r="C211" s="11" t="s">
        <v>1525</v>
      </c>
      <c r="D211" s="11" t="s">
        <v>1526</v>
      </c>
      <c r="E211" s="20" t="s">
        <v>36</v>
      </c>
      <c r="F211" s="20" t="s">
        <v>392</v>
      </c>
      <c r="G211" s="11" t="s">
        <v>1527</v>
      </c>
      <c r="H211" s="11" t="s">
        <v>82</v>
      </c>
      <c r="I211" s="11" t="s">
        <v>1528</v>
      </c>
      <c r="J211" s="11" t="s">
        <v>1529</v>
      </c>
      <c r="K211" s="11" t="s">
        <v>1530</v>
      </c>
      <c r="L211" s="11" t="s">
        <v>86</v>
      </c>
      <c r="M211" s="20" t="s">
        <v>87</v>
      </c>
      <c r="N211" s="20" t="s">
        <v>86</v>
      </c>
      <c r="O211" s="20" t="s">
        <v>86</v>
      </c>
      <c r="P211" s="21"/>
      <c r="Q211" s="12" t="s">
        <v>86</v>
      </c>
    </row>
    <row r="212" ht="68" customHeight="1" spans="1:17">
      <c r="A212" s="19" t="s">
        <v>1531</v>
      </c>
      <c r="B212" s="11" t="s">
        <v>59</v>
      </c>
      <c r="C212" s="11" t="s">
        <v>1532</v>
      </c>
      <c r="D212" s="11" t="s">
        <v>1533</v>
      </c>
      <c r="E212" s="20" t="s">
        <v>36</v>
      </c>
      <c r="F212" s="20" t="s">
        <v>714</v>
      </c>
      <c r="G212" s="11" t="s">
        <v>1534</v>
      </c>
      <c r="H212" s="11" t="s">
        <v>82</v>
      </c>
      <c r="I212" s="11" t="s">
        <v>1535</v>
      </c>
      <c r="J212" s="11" t="s">
        <v>1536</v>
      </c>
      <c r="K212" s="11" t="s">
        <v>1537</v>
      </c>
      <c r="L212" s="11" t="s">
        <v>86</v>
      </c>
      <c r="M212" s="20" t="s">
        <v>87</v>
      </c>
      <c r="N212" s="20" t="s">
        <v>86</v>
      </c>
      <c r="O212" s="20" t="s">
        <v>86</v>
      </c>
      <c r="P212" s="21"/>
      <c r="Q212" s="12" t="s">
        <v>86</v>
      </c>
    </row>
    <row r="213" ht="68" customHeight="1" spans="1:17">
      <c r="A213" s="19" t="s">
        <v>1538</v>
      </c>
      <c r="B213" s="11" t="s">
        <v>59</v>
      </c>
      <c r="C213" s="11" t="s">
        <v>1539</v>
      </c>
      <c r="D213" s="11" t="s">
        <v>1540</v>
      </c>
      <c r="E213" s="20" t="s">
        <v>36</v>
      </c>
      <c r="F213" s="20" t="s">
        <v>392</v>
      </c>
      <c r="G213" s="11" t="s">
        <v>1541</v>
      </c>
      <c r="H213" s="11" t="s">
        <v>82</v>
      </c>
      <c r="I213" s="11" t="s">
        <v>1542</v>
      </c>
      <c r="J213" s="11" t="s">
        <v>1543</v>
      </c>
      <c r="K213" s="11" t="s">
        <v>1544</v>
      </c>
      <c r="L213" s="11" t="s">
        <v>86</v>
      </c>
      <c r="M213" s="20" t="s">
        <v>87</v>
      </c>
      <c r="N213" s="20" t="s">
        <v>86</v>
      </c>
      <c r="O213" s="20" t="s">
        <v>86</v>
      </c>
      <c r="P213" s="21"/>
      <c r="Q213" s="12" t="s">
        <v>86</v>
      </c>
    </row>
    <row r="214" ht="68" customHeight="1" spans="1:17">
      <c r="A214" s="19" t="s">
        <v>1545</v>
      </c>
      <c r="B214" s="11" t="s">
        <v>59</v>
      </c>
      <c r="C214" s="11" t="s">
        <v>1546</v>
      </c>
      <c r="D214" s="11" t="s">
        <v>1547</v>
      </c>
      <c r="E214" s="20" t="s">
        <v>36</v>
      </c>
      <c r="F214" s="20" t="s">
        <v>392</v>
      </c>
      <c r="G214" s="11" t="s">
        <v>1548</v>
      </c>
      <c r="H214" s="11" t="s">
        <v>82</v>
      </c>
      <c r="I214" s="11" t="s">
        <v>1549</v>
      </c>
      <c r="J214" s="11" t="s">
        <v>1550</v>
      </c>
      <c r="K214" s="11" t="s">
        <v>1537</v>
      </c>
      <c r="L214" s="11" t="s">
        <v>86</v>
      </c>
      <c r="M214" s="20" t="s">
        <v>87</v>
      </c>
      <c r="N214" s="20" t="s">
        <v>86</v>
      </c>
      <c r="O214" s="20" t="s">
        <v>86</v>
      </c>
      <c r="P214" s="21"/>
      <c r="Q214" s="12" t="s">
        <v>86</v>
      </c>
    </row>
    <row r="215" ht="68" customHeight="1" spans="1:17">
      <c r="A215" s="19" t="s">
        <v>1551</v>
      </c>
      <c r="B215" s="11" t="s">
        <v>59</v>
      </c>
      <c r="C215" s="11" t="s">
        <v>1552</v>
      </c>
      <c r="D215" s="11" t="s">
        <v>1553</v>
      </c>
      <c r="E215" s="20" t="s">
        <v>38</v>
      </c>
      <c r="F215" s="20" t="s">
        <v>932</v>
      </c>
      <c r="G215" s="11" t="s">
        <v>1554</v>
      </c>
      <c r="H215" s="11" t="s">
        <v>82</v>
      </c>
      <c r="I215" s="11" t="s">
        <v>1555</v>
      </c>
      <c r="J215" s="11" t="s">
        <v>1556</v>
      </c>
      <c r="K215" s="11" t="s">
        <v>1557</v>
      </c>
      <c r="L215" s="11" t="s">
        <v>86</v>
      </c>
      <c r="M215" s="20" t="s">
        <v>87</v>
      </c>
      <c r="N215" s="20" t="s">
        <v>86</v>
      </c>
      <c r="O215" s="20" t="s">
        <v>86</v>
      </c>
      <c r="P215" s="21"/>
      <c r="Q215" s="12" t="s">
        <v>86</v>
      </c>
    </row>
    <row r="216" ht="68" customHeight="1" spans="1:17">
      <c r="A216" s="19" t="s">
        <v>1558</v>
      </c>
      <c r="B216" s="11" t="s">
        <v>60</v>
      </c>
      <c r="C216" s="11" t="s">
        <v>1559</v>
      </c>
      <c r="D216" s="11" t="s">
        <v>1560</v>
      </c>
      <c r="E216" s="20" t="s">
        <v>38</v>
      </c>
      <c r="F216" s="20" t="s">
        <v>1561</v>
      </c>
      <c r="G216" s="11" t="s">
        <v>1562</v>
      </c>
      <c r="H216" s="11" t="s">
        <v>82</v>
      </c>
      <c r="I216" s="11" t="s">
        <v>1563</v>
      </c>
      <c r="J216" s="11" t="s">
        <v>1564</v>
      </c>
      <c r="K216" s="11" t="s">
        <v>1565</v>
      </c>
      <c r="L216" s="11" t="s">
        <v>86</v>
      </c>
      <c r="M216" s="20" t="s">
        <v>87</v>
      </c>
      <c r="N216" s="20" t="s">
        <v>86</v>
      </c>
      <c r="O216" s="20" t="s">
        <v>86</v>
      </c>
      <c r="P216" s="21"/>
      <c r="Q216" s="12" t="s">
        <v>86</v>
      </c>
    </row>
    <row r="217" ht="68" customHeight="1" spans="1:17">
      <c r="A217" s="19" t="s">
        <v>1566</v>
      </c>
      <c r="B217" s="11" t="s">
        <v>60</v>
      </c>
      <c r="C217" s="11" t="s">
        <v>1567</v>
      </c>
      <c r="D217" s="11" t="s">
        <v>1568</v>
      </c>
      <c r="E217" s="20" t="s">
        <v>38</v>
      </c>
      <c r="F217" s="20" t="s">
        <v>1561</v>
      </c>
      <c r="G217" s="11" t="s">
        <v>1569</v>
      </c>
      <c r="H217" s="11" t="s">
        <v>82</v>
      </c>
      <c r="I217" s="11" t="s">
        <v>1570</v>
      </c>
      <c r="J217" s="11" t="s">
        <v>1571</v>
      </c>
      <c r="K217" s="11" t="s">
        <v>1572</v>
      </c>
      <c r="L217" s="11" t="s">
        <v>86</v>
      </c>
      <c r="M217" s="20" t="s">
        <v>87</v>
      </c>
      <c r="N217" s="20" t="s">
        <v>86</v>
      </c>
      <c r="O217" s="20" t="s">
        <v>86</v>
      </c>
      <c r="P217" s="21"/>
      <c r="Q217" s="12" t="s">
        <v>86</v>
      </c>
    </row>
    <row r="218" ht="68" customHeight="1" spans="1:17">
      <c r="A218" s="19" t="s">
        <v>1573</v>
      </c>
      <c r="B218" s="11" t="s">
        <v>60</v>
      </c>
      <c r="C218" s="11" t="s">
        <v>1574</v>
      </c>
      <c r="D218" s="11" t="s">
        <v>1575</v>
      </c>
      <c r="E218" s="20" t="s">
        <v>38</v>
      </c>
      <c r="F218" s="20" t="s">
        <v>1561</v>
      </c>
      <c r="G218" s="11" t="s">
        <v>1576</v>
      </c>
      <c r="H218" s="11" t="s">
        <v>82</v>
      </c>
      <c r="I218" s="11" t="s">
        <v>1577</v>
      </c>
      <c r="J218" s="11" t="s">
        <v>1578</v>
      </c>
      <c r="K218" s="11" t="s">
        <v>1579</v>
      </c>
      <c r="L218" s="11" t="s">
        <v>86</v>
      </c>
      <c r="M218" s="20" t="s">
        <v>87</v>
      </c>
      <c r="N218" s="20" t="s">
        <v>86</v>
      </c>
      <c r="O218" s="20" t="s">
        <v>86</v>
      </c>
      <c r="P218" s="21"/>
      <c r="Q218" s="12" t="s">
        <v>86</v>
      </c>
    </row>
    <row r="219" ht="68" customHeight="1" spans="1:17">
      <c r="A219" s="19" t="s">
        <v>1580</v>
      </c>
      <c r="B219" s="11" t="s">
        <v>60</v>
      </c>
      <c r="C219" s="11" t="s">
        <v>1581</v>
      </c>
      <c r="D219" s="11" t="s">
        <v>1582</v>
      </c>
      <c r="E219" s="20" t="s">
        <v>38</v>
      </c>
      <c r="F219" s="20" t="s">
        <v>1561</v>
      </c>
      <c r="G219" s="11" t="s">
        <v>1583</v>
      </c>
      <c r="H219" s="11" t="s">
        <v>82</v>
      </c>
      <c r="I219" s="11" t="s">
        <v>1584</v>
      </c>
      <c r="J219" s="11" t="s">
        <v>1585</v>
      </c>
      <c r="K219" s="11" t="s">
        <v>1586</v>
      </c>
      <c r="L219" s="11" t="s">
        <v>86</v>
      </c>
      <c r="M219" s="20" t="s">
        <v>87</v>
      </c>
      <c r="N219" s="20" t="s">
        <v>86</v>
      </c>
      <c r="O219" s="20" t="s">
        <v>86</v>
      </c>
      <c r="P219" s="21"/>
      <c r="Q219" s="12" t="s">
        <v>86</v>
      </c>
    </row>
    <row r="220" ht="68" customHeight="1" spans="1:17">
      <c r="A220" s="19" t="s">
        <v>1587</v>
      </c>
      <c r="B220" s="11" t="s">
        <v>60</v>
      </c>
      <c r="C220" s="11" t="s">
        <v>1588</v>
      </c>
      <c r="D220" s="11" t="s">
        <v>1589</v>
      </c>
      <c r="E220" s="20" t="s">
        <v>38</v>
      </c>
      <c r="F220" s="20" t="s">
        <v>1478</v>
      </c>
      <c r="G220" s="11" t="s">
        <v>1590</v>
      </c>
      <c r="H220" s="11" t="s">
        <v>82</v>
      </c>
      <c r="I220" s="11" t="s">
        <v>1591</v>
      </c>
      <c r="J220" s="11" t="s">
        <v>1592</v>
      </c>
      <c r="K220" s="11" t="s">
        <v>1593</v>
      </c>
      <c r="L220" s="11" t="s">
        <v>86</v>
      </c>
      <c r="M220" s="20" t="s">
        <v>87</v>
      </c>
      <c r="N220" s="20" t="s">
        <v>86</v>
      </c>
      <c r="O220" s="20" t="s">
        <v>86</v>
      </c>
      <c r="P220" s="21"/>
      <c r="Q220" s="12" t="s">
        <v>86</v>
      </c>
    </row>
    <row r="221" ht="68" customHeight="1" spans="1:17">
      <c r="A221" s="22" t="s">
        <v>1594</v>
      </c>
      <c r="B221" s="14" t="s">
        <v>60</v>
      </c>
      <c r="C221" s="14" t="s">
        <v>1595</v>
      </c>
      <c r="D221" s="14" t="s">
        <v>1596</v>
      </c>
      <c r="E221" s="23" t="s">
        <v>38</v>
      </c>
      <c r="F221" s="23" t="s">
        <v>1561</v>
      </c>
      <c r="G221" s="14" t="s">
        <v>1597</v>
      </c>
      <c r="H221" s="14" t="s">
        <v>82</v>
      </c>
      <c r="I221" s="14" t="s">
        <v>1598</v>
      </c>
      <c r="J221" s="14" t="s">
        <v>1599</v>
      </c>
      <c r="K221" s="14" t="s">
        <v>1600</v>
      </c>
      <c r="L221" s="14" t="s">
        <v>86</v>
      </c>
      <c r="M221" s="23" t="s">
        <v>87</v>
      </c>
      <c r="N221" s="23" t="s">
        <v>86</v>
      </c>
      <c r="O221" s="23" t="s">
        <v>86</v>
      </c>
      <c r="P221" s="24"/>
      <c r="Q221" s="15" t="s">
        <v>86</v>
      </c>
    </row>
  </sheetData>
  <mergeCells count="1">
    <mergeCell ref="A2:Q2"/>
  </mergeCells>
  <conditionalFormatting sqref="M6:M221">
    <cfRule type="containsText" dxfId="0" priority="1" operator="between" text="通过">
      <formula>NOT(ISERROR(SEARCH("通过",M6)))</formula>
    </cfRule>
    <cfRule type="containsText" dxfId="1" priority="2" operator="between" text="失败">
      <formula>NOT(ISERROR(SEARCH("失败",M6)))</formula>
    </cfRule>
    <cfRule type="containsText" dxfId="2" priority="3" operator="between" text="阻塞">
      <formula>NOT(ISERROR(SEARCH("阻塞",M6)))</formula>
    </cfRule>
  </conditionalFormatting>
  <dataValidations count="2">
    <dataValidation type="list" sqref="E6:E221">
      <formula1>"P0,P1,P2"</formula1>
    </dataValidation>
    <dataValidation type="list" sqref="M6:M221">
      <formula1>"未执行,通过,失败,阻塞,不适用"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7"/>
  <sheetViews>
    <sheetView showGridLines="0" workbookViewId="0">
      <pane ySplit="5" topLeftCell="A24" activePane="bottomLeft" state="frozen"/>
      <selection/>
      <selection pane="bottomLeft" activeCell="A1" sqref="A1"/>
    </sheetView>
  </sheetViews>
  <sheetFormatPr defaultColWidth="9" defaultRowHeight="13.65" outlineLevelCol="6"/>
  <cols>
    <col min="1" max="1" width="12" customWidth="1"/>
    <col min="2" max="2" width="20" customWidth="1"/>
    <col min="3" max="3" width="42" customWidth="1"/>
    <col min="4" max="4" width="65" customWidth="1"/>
    <col min="5" max="5" width="10" customWidth="1"/>
    <col min="6" max="6" width="12" customWidth="1"/>
    <col min="7" max="7" width="32" customWidth="1"/>
  </cols>
  <sheetData>
    <row r="2" ht="19" spans="1:7">
      <c r="A2" s="1" t="s">
        <v>1601</v>
      </c>
      <c r="B2" s="2"/>
      <c r="C2" s="2"/>
      <c r="D2" s="2"/>
      <c r="E2" s="2"/>
      <c r="F2" s="2"/>
      <c r="G2" s="2"/>
    </row>
    <row r="3" ht="14.4" spans="1:7">
      <c r="A3" s="3"/>
      <c r="B3" s="3"/>
      <c r="C3" s="3"/>
      <c r="D3" s="3"/>
      <c r="E3" s="3"/>
      <c r="F3" s="3"/>
      <c r="G3" s="3"/>
    </row>
    <row r="4" spans="1:7">
      <c r="A4" s="2"/>
      <c r="B4" s="2"/>
      <c r="C4" s="2"/>
      <c r="D4" s="2"/>
      <c r="E4" s="2"/>
      <c r="F4" s="2"/>
      <c r="G4" s="2"/>
    </row>
    <row r="5" ht="30" customHeight="1" spans="1:7">
      <c r="A5" s="4" t="s">
        <v>1602</v>
      </c>
      <c r="B5" s="5" t="s">
        <v>1603</v>
      </c>
      <c r="C5" s="5" t="s">
        <v>1604</v>
      </c>
      <c r="D5" s="5" t="s">
        <v>1605</v>
      </c>
      <c r="E5" s="5" t="s">
        <v>1606</v>
      </c>
      <c r="F5" s="5" t="s">
        <v>1607</v>
      </c>
      <c r="G5" s="6" t="s">
        <v>1608</v>
      </c>
    </row>
    <row r="6" ht="46" customHeight="1" spans="1:7">
      <c r="A6" s="7" t="s">
        <v>1609</v>
      </c>
      <c r="B6" s="8" t="s">
        <v>33</v>
      </c>
      <c r="C6" s="8" t="s">
        <v>1610</v>
      </c>
      <c r="D6" s="8" t="s">
        <v>1611</v>
      </c>
      <c r="E6" s="8">
        <v>8</v>
      </c>
      <c r="F6" s="8" t="s">
        <v>1612</v>
      </c>
      <c r="G6" s="9" t="s">
        <v>86</v>
      </c>
    </row>
    <row r="7" ht="46" customHeight="1" spans="1:7">
      <c r="A7" s="10" t="s">
        <v>1613</v>
      </c>
      <c r="B7" s="11" t="s">
        <v>35</v>
      </c>
      <c r="C7" s="11" t="s">
        <v>1614</v>
      </c>
      <c r="D7" s="11" t="s">
        <v>1615</v>
      </c>
      <c r="E7" s="11">
        <v>3</v>
      </c>
      <c r="F7" s="11" t="s">
        <v>1612</v>
      </c>
      <c r="G7" s="12" t="s">
        <v>86</v>
      </c>
    </row>
    <row r="8" ht="46" customHeight="1" spans="1:7">
      <c r="A8" s="10" t="s">
        <v>1616</v>
      </c>
      <c r="B8" s="11" t="s">
        <v>37</v>
      </c>
      <c r="C8" s="11" t="s">
        <v>1617</v>
      </c>
      <c r="D8" s="11" t="s">
        <v>1618</v>
      </c>
      <c r="E8" s="11">
        <v>7</v>
      </c>
      <c r="F8" s="11" t="s">
        <v>1612</v>
      </c>
      <c r="G8" s="12" t="s">
        <v>86</v>
      </c>
    </row>
    <row r="9" ht="46" customHeight="1" spans="1:7">
      <c r="A9" s="10" t="s">
        <v>1619</v>
      </c>
      <c r="B9" s="11" t="s">
        <v>39</v>
      </c>
      <c r="C9" s="11" t="s">
        <v>1620</v>
      </c>
      <c r="D9" s="11" t="s">
        <v>1621</v>
      </c>
      <c r="E9" s="11">
        <v>9</v>
      </c>
      <c r="F9" s="11" t="s">
        <v>1612</v>
      </c>
      <c r="G9" s="12" t="s">
        <v>86</v>
      </c>
    </row>
    <row r="10" ht="46" customHeight="1" spans="1:7">
      <c r="A10" s="10" t="s">
        <v>1622</v>
      </c>
      <c r="B10" s="11" t="s">
        <v>41</v>
      </c>
      <c r="C10" s="11" t="s">
        <v>1623</v>
      </c>
      <c r="D10" s="11" t="s">
        <v>1624</v>
      </c>
      <c r="E10" s="11">
        <v>10</v>
      </c>
      <c r="F10" s="11" t="s">
        <v>1612</v>
      </c>
      <c r="G10" s="12" t="s">
        <v>86</v>
      </c>
    </row>
    <row r="11" ht="46" customHeight="1" spans="1:7">
      <c r="A11" s="10" t="s">
        <v>1625</v>
      </c>
      <c r="B11" s="11" t="s">
        <v>43</v>
      </c>
      <c r="C11" s="11" t="s">
        <v>1626</v>
      </c>
      <c r="D11" s="11" t="s">
        <v>1627</v>
      </c>
      <c r="E11" s="11">
        <v>14</v>
      </c>
      <c r="F11" s="11" t="s">
        <v>1612</v>
      </c>
      <c r="G11" s="12" t="s">
        <v>86</v>
      </c>
    </row>
    <row r="12" ht="46" customHeight="1" spans="1:7">
      <c r="A12" s="10" t="s">
        <v>1628</v>
      </c>
      <c r="B12" s="11" t="s">
        <v>45</v>
      </c>
      <c r="C12" s="11" t="s">
        <v>1629</v>
      </c>
      <c r="D12" s="11" t="s">
        <v>1630</v>
      </c>
      <c r="E12" s="11">
        <v>7</v>
      </c>
      <c r="F12" s="11" t="s">
        <v>1612</v>
      </c>
      <c r="G12" s="12" t="s">
        <v>86</v>
      </c>
    </row>
    <row r="13" ht="46" customHeight="1" spans="1:7">
      <c r="A13" s="10" t="s">
        <v>1631</v>
      </c>
      <c r="B13" s="11" t="s">
        <v>46</v>
      </c>
      <c r="C13" s="11" t="s">
        <v>1632</v>
      </c>
      <c r="D13" s="11" t="s">
        <v>1633</v>
      </c>
      <c r="E13" s="11">
        <v>9</v>
      </c>
      <c r="F13" s="11" t="s">
        <v>1612</v>
      </c>
      <c r="G13" s="12" t="s">
        <v>86</v>
      </c>
    </row>
    <row r="14" ht="46" customHeight="1" spans="1:7">
      <c r="A14" s="10" t="s">
        <v>1634</v>
      </c>
      <c r="B14" s="11" t="s">
        <v>47</v>
      </c>
      <c r="C14" s="11" t="s">
        <v>1635</v>
      </c>
      <c r="D14" s="11" t="s">
        <v>1636</v>
      </c>
      <c r="E14" s="11">
        <v>9</v>
      </c>
      <c r="F14" s="11" t="s">
        <v>1612</v>
      </c>
      <c r="G14" s="12" t="s">
        <v>86</v>
      </c>
    </row>
    <row r="15" ht="46" customHeight="1" spans="1:7">
      <c r="A15" s="10" t="s">
        <v>1637</v>
      </c>
      <c r="B15" s="11" t="s">
        <v>48</v>
      </c>
      <c r="C15" s="11" t="s">
        <v>1638</v>
      </c>
      <c r="D15" s="11" t="s">
        <v>1639</v>
      </c>
      <c r="E15" s="11">
        <v>10</v>
      </c>
      <c r="F15" s="11" t="s">
        <v>1612</v>
      </c>
      <c r="G15" s="12" t="s">
        <v>86</v>
      </c>
    </row>
    <row r="16" ht="46" customHeight="1" spans="1:7">
      <c r="A16" s="10" t="s">
        <v>1640</v>
      </c>
      <c r="B16" s="11" t="s">
        <v>49</v>
      </c>
      <c r="C16" s="11" t="s">
        <v>1641</v>
      </c>
      <c r="D16" s="11" t="s">
        <v>1642</v>
      </c>
      <c r="E16" s="11">
        <v>23</v>
      </c>
      <c r="F16" s="11" t="s">
        <v>1612</v>
      </c>
      <c r="G16" s="12" t="s">
        <v>86</v>
      </c>
    </row>
    <row r="17" ht="46" customHeight="1" spans="1:7">
      <c r="A17" s="10" t="s">
        <v>1643</v>
      </c>
      <c r="B17" s="11" t="s">
        <v>50</v>
      </c>
      <c r="C17" s="11" t="s">
        <v>1644</v>
      </c>
      <c r="D17" s="11" t="s">
        <v>1645</v>
      </c>
      <c r="E17" s="11">
        <v>6</v>
      </c>
      <c r="F17" s="11" t="s">
        <v>1612</v>
      </c>
      <c r="G17" s="12" t="s">
        <v>86</v>
      </c>
    </row>
    <row r="18" ht="46" customHeight="1" spans="1:7">
      <c r="A18" s="10" t="s">
        <v>1646</v>
      </c>
      <c r="B18" s="11" t="s">
        <v>51</v>
      </c>
      <c r="C18" s="11" t="s">
        <v>1647</v>
      </c>
      <c r="D18" s="11" t="s">
        <v>1648</v>
      </c>
      <c r="E18" s="11">
        <v>7</v>
      </c>
      <c r="F18" s="11" t="s">
        <v>1612</v>
      </c>
      <c r="G18" s="12" t="s">
        <v>86</v>
      </c>
    </row>
    <row r="19" ht="46" customHeight="1" spans="1:7">
      <c r="A19" s="10" t="s">
        <v>1649</v>
      </c>
      <c r="B19" s="11" t="s">
        <v>52</v>
      </c>
      <c r="C19" s="11" t="s">
        <v>1650</v>
      </c>
      <c r="D19" s="11" t="s">
        <v>1651</v>
      </c>
      <c r="E19" s="11">
        <v>7</v>
      </c>
      <c r="F19" s="11" t="s">
        <v>1612</v>
      </c>
      <c r="G19" s="12" t="s">
        <v>86</v>
      </c>
    </row>
    <row r="20" ht="46" customHeight="1" spans="1:7">
      <c r="A20" s="10" t="s">
        <v>1652</v>
      </c>
      <c r="B20" s="11" t="s">
        <v>53</v>
      </c>
      <c r="C20" s="11" t="s">
        <v>1653</v>
      </c>
      <c r="D20" s="11" t="s">
        <v>1654</v>
      </c>
      <c r="E20" s="11">
        <v>8</v>
      </c>
      <c r="F20" s="11" t="s">
        <v>1612</v>
      </c>
      <c r="G20" s="12" t="s">
        <v>86</v>
      </c>
    </row>
    <row r="21" ht="46" customHeight="1" spans="1:7">
      <c r="A21" s="10" t="s">
        <v>1655</v>
      </c>
      <c r="B21" s="11" t="s">
        <v>54</v>
      </c>
      <c r="C21" s="11" t="s">
        <v>1656</v>
      </c>
      <c r="D21" s="11" t="s">
        <v>1657</v>
      </c>
      <c r="E21" s="11">
        <v>12</v>
      </c>
      <c r="F21" s="11" t="s">
        <v>1612</v>
      </c>
      <c r="G21" s="12" t="s">
        <v>86</v>
      </c>
    </row>
    <row r="22" ht="46" customHeight="1" spans="1:7">
      <c r="A22" s="10" t="s">
        <v>1658</v>
      </c>
      <c r="B22" s="11" t="s">
        <v>55</v>
      </c>
      <c r="C22" s="11" t="s">
        <v>1659</v>
      </c>
      <c r="D22" s="11" t="s">
        <v>1660</v>
      </c>
      <c r="E22" s="11">
        <v>8</v>
      </c>
      <c r="F22" s="11" t="s">
        <v>1612</v>
      </c>
      <c r="G22" s="12" t="s">
        <v>86</v>
      </c>
    </row>
    <row r="23" ht="46" customHeight="1" spans="1:7">
      <c r="A23" s="10" t="s">
        <v>1661</v>
      </c>
      <c r="B23" s="11" t="s">
        <v>56</v>
      </c>
      <c r="C23" s="11" t="s">
        <v>1662</v>
      </c>
      <c r="D23" s="11" t="s">
        <v>1663</v>
      </c>
      <c r="E23" s="11">
        <v>8</v>
      </c>
      <c r="F23" s="11" t="s">
        <v>1612</v>
      </c>
      <c r="G23" s="12" t="s">
        <v>86</v>
      </c>
    </row>
    <row r="24" ht="46" customHeight="1" spans="1:7">
      <c r="A24" s="10" t="s">
        <v>1664</v>
      </c>
      <c r="B24" s="11" t="s">
        <v>57</v>
      </c>
      <c r="C24" s="11" t="s">
        <v>1665</v>
      </c>
      <c r="D24" s="11" t="s">
        <v>1666</v>
      </c>
      <c r="E24" s="11">
        <v>34</v>
      </c>
      <c r="F24" s="11" t="s">
        <v>1612</v>
      </c>
      <c r="G24" s="12" t="s">
        <v>86</v>
      </c>
    </row>
    <row r="25" ht="46" customHeight="1" spans="1:7">
      <c r="A25" s="10" t="s">
        <v>1667</v>
      </c>
      <c r="B25" s="11" t="s">
        <v>58</v>
      </c>
      <c r="C25" s="11" t="s">
        <v>1668</v>
      </c>
      <c r="D25" s="11" t="s">
        <v>1669</v>
      </c>
      <c r="E25" s="11">
        <v>6</v>
      </c>
      <c r="F25" s="11" t="s">
        <v>1612</v>
      </c>
      <c r="G25" s="12" t="s">
        <v>86</v>
      </c>
    </row>
    <row r="26" ht="46" customHeight="1" spans="1:7">
      <c r="A26" s="10" t="s">
        <v>1670</v>
      </c>
      <c r="B26" s="11" t="s">
        <v>59</v>
      </c>
      <c r="C26" s="11" t="s">
        <v>1671</v>
      </c>
      <c r="D26" s="11" t="s">
        <v>1672</v>
      </c>
      <c r="E26" s="11">
        <v>5</v>
      </c>
      <c r="F26" s="11" t="s">
        <v>1612</v>
      </c>
      <c r="G26" s="12" t="s">
        <v>86</v>
      </c>
    </row>
    <row r="27" ht="46" customHeight="1" spans="1:7">
      <c r="A27" s="13" t="s">
        <v>1673</v>
      </c>
      <c r="B27" s="14" t="s">
        <v>60</v>
      </c>
      <c r="C27" s="14" t="s">
        <v>1674</v>
      </c>
      <c r="D27" s="14" t="s">
        <v>1675</v>
      </c>
      <c r="E27" s="14">
        <v>6</v>
      </c>
      <c r="F27" s="14" t="s">
        <v>1561</v>
      </c>
      <c r="G27" s="15" t="s">
        <v>1676</v>
      </c>
    </row>
  </sheetData>
  <mergeCells count="1">
    <mergeCell ref="A2:G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6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3.65" outlineLevelCol="7"/>
  <cols>
    <col min="1" max="1" width="12" customWidth="1"/>
    <col min="2" max="2" width="27" customWidth="1"/>
    <col min="3" max="3" width="16" customWidth="1"/>
    <col min="4" max="4" width="32" customWidth="1"/>
    <col min="5" max="5" width="35" customWidth="1"/>
    <col min="6" max="6" width="38" customWidth="1"/>
    <col min="7" max="7" width="34" customWidth="1"/>
    <col min="8" max="8" width="32" customWidth="1"/>
  </cols>
  <sheetData>
    <row r="2" ht="19" spans="1:8">
      <c r="A2" s="1" t="s">
        <v>1677</v>
      </c>
      <c r="B2" s="2"/>
      <c r="C2" s="2"/>
      <c r="D2" s="2"/>
      <c r="E2" s="2"/>
      <c r="F2" s="2"/>
      <c r="G2" s="2"/>
      <c r="H2" s="2"/>
    </row>
    <row r="3" ht="14.4" spans="1:8">
      <c r="A3" s="3"/>
      <c r="B3" s="3"/>
      <c r="C3" s="3"/>
      <c r="D3" s="3"/>
      <c r="E3" s="3"/>
      <c r="F3" s="3"/>
      <c r="G3" s="3"/>
      <c r="H3" s="3"/>
    </row>
    <row r="4" spans="1:8">
      <c r="A4" s="2"/>
      <c r="B4" s="2"/>
      <c r="C4" s="2"/>
      <c r="D4" s="2"/>
      <c r="E4" s="2"/>
      <c r="F4" s="2"/>
      <c r="G4" s="2"/>
      <c r="H4" s="2"/>
    </row>
    <row r="5" ht="30" customHeight="1" spans="1:8">
      <c r="A5" s="4" t="s">
        <v>274</v>
      </c>
      <c r="B5" s="5" t="s">
        <v>1678</v>
      </c>
      <c r="C5" s="5" t="s">
        <v>1679</v>
      </c>
      <c r="D5" s="5" t="s">
        <v>1680</v>
      </c>
      <c r="E5" s="5" t="s">
        <v>1681</v>
      </c>
      <c r="F5" s="5" t="s">
        <v>1682</v>
      </c>
      <c r="G5" s="5" t="s">
        <v>1683</v>
      </c>
      <c r="H5" s="6" t="s">
        <v>1684</v>
      </c>
    </row>
    <row r="6" ht="55" customHeight="1" spans="1:8">
      <c r="A6" s="7" t="s">
        <v>1685</v>
      </c>
      <c r="B6" s="8" t="s">
        <v>1686</v>
      </c>
      <c r="C6" s="8" t="s">
        <v>1687</v>
      </c>
      <c r="D6" s="8" t="s">
        <v>1688</v>
      </c>
      <c r="E6" s="8" t="s">
        <v>1689</v>
      </c>
      <c r="F6" s="8" t="s">
        <v>1690</v>
      </c>
      <c r="G6" s="8" t="s">
        <v>1691</v>
      </c>
      <c r="H6" s="9" t="s">
        <v>1692</v>
      </c>
    </row>
    <row r="7" ht="55" customHeight="1" spans="1:8">
      <c r="A7" s="10" t="s">
        <v>1685</v>
      </c>
      <c r="B7" s="11" t="s">
        <v>1693</v>
      </c>
      <c r="C7" s="11" t="s">
        <v>1687</v>
      </c>
      <c r="D7" s="11" t="s">
        <v>1694</v>
      </c>
      <c r="E7" s="11" t="s">
        <v>1695</v>
      </c>
      <c r="F7" s="11" t="s">
        <v>1696</v>
      </c>
      <c r="G7" s="11" t="s">
        <v>1697</v>
      </c>
      <c r="H7" s="12" t="s">
        <v>1698</v>
      </c>
    </row>
    <row r="8" ht="55" customHeight="1" spans="1:8">
      <c r="A8" s="10" t="s">
        <v>1685</v>
      </c>
      <c r="B8" s="11" t="s">
        <v>1699</v>
      </c>
      <c r="C8" s="11" t="s">
        <v>1700</v>
      </c>
      <c r="D8" s="11" t="s">
        <v>1701</v>
      </c>
      <c r="E8" s="11" t="s">
        <v>1702</v>
      </c>
      <c r="F8" s="11" t="s">
        <v>1703</v>
      </c>
      <c r="G8" s="11" t="s">
        <v>1704</v>
      </c>
      <c r="H8" s="12" t="s">
        <v>1705</v>
      </c>
    </row>
    <row r="9" ht="55" customHeight="1" spans="1:8">
      <c r="A9" s="10" t="s">
        <v>1685</v>
      </c>
      <c r="B9" s="11" t="s">
        <v>1706</v>
      </c>
      <c r="C9" s="11" t="s">
        <v>1700</v>
      </c>
      <c r="D9" s="11" t="s">
        <v>1707</v>
      </c>
      <c r="E9" s="11" t="s">
        <v>1708</v>
      </c>
      <c r="F9" s="11" t="s">
        <v>1709</v>
      </c>
      <c r="G9" s="11" t="s">
        <v>1710</v>
      </c>
      <c r="H9" s="12" t="s">
        <v>1711</v>
      </c>
    </row>
    <row r="10" ht="55" customHeight="1" spans="1:8">
      <c r="A10" s="10" t="s">
        <v>1712</v>
      </c>
      <c r="B10" s="11" t="s">
        <v>1713</v>
      </c>
      <c r="C10" s="11" t="s">
        <v>1714</v>
      </c>
      <c r="D10" s="11" t="s">
        <v>1715</v>
      </c>
      <c r="E10" s="11" t="s">
        <v>1716</v>
      </c>
      <c r="F10" s="11" t="s">
        <v>1717</v>
      </c>
      <c r="G10" s="11" t="s">
        <v>1718</v>
      </c>
      <c r="H10" s="12" t="s">
        <v>1719</v>
      </c>
    </row>
    <row r="11" ht="55" customHeight="1" spans="1:8">
      <c r="A11" s="10" t="s">
        <v>1712</v>
      </c>
      <c r="B11" s="11" t="s">
        <v>1720</v>
      </c>
      <c r="C11" s="11" t="s">
        <v>1721</v>
      </c>
      <c r="D11" s="11" t="s">
        <v>1722</v>
      </c>
      <c r="E11" s="11" t="s">
        <v>1723</v>
      </c>
      <c r="F11" s="11" t="s">
        <v>1724</v>
      </c>
      <c r="G11" s="11" t="s">
        <v>1725</v>
      </c>
      <c r="H11" s="12" t="s">
        <v>1726</v>
      </c>
    </row>
    <row r="12" ht="55" customHeight="1" spans="1:8">
      <c r="A12" s="10" t="s">
        <v>1727</v>
      </c>
      <c r="B12" s="11" t="s">
        <v>1728</v>
      </c>
      <c r="C12" s="11" t="s">
        <v>1729</v>
      </c>
      <c r="D12" s="11" t="s">
        <v>1730</v>
      </c>
      <c r="E12" s="11" t="s">
        <v>1731</v>
      </c>
      <c r="F12" s="11" t="s">
        <v>1732</v>
      </c>
      <c r="G12" s="11" t="s">
        <v>1733</v>
      </c>
      <c r="H12" s="12" t="s">
        <v>1734</v>
      </c>
    </row>
    <row r="13" ht="55" customHeight="1" spans="1:8">
      <c r="A13" s="10" t="s">
        <v>1735</v>
      </c>
      <c r="B13" s="11" t="s">
        <v>1736</v>
      </c>
      <c r="C13" s="11" t="s">
        <v>1729</v>
      </c>
      <c r="D13" s="11" t="s">
        <v>1737</v>
      </c>
      <c r="E13" s="11" t="s">
        <v>1738</v>
      </c>
      <c r="F13" s="11" t="s">
        <v>1739</v>
      </c>
      <c r="G13" s="11" t="s">
        <v>1740</v>
      </c>
      <c r="H13" s="12" t="s">
        <v>1741</v>
      </c>
    </row>
    <row r="14" ht="55" customHeight="1" spans="1:8">
      <c r="A14" s="10" t="s">
        <v>1735</v>
      </c>
      <c r="B14" s="11" t="s">
        <v>1742</v>
      </c>
      <c r="C14" s="11" t="s">
        <v>1743</v>
      </c>
      <c r="D14" s="11" t="s">
        <v>1744</v>
      </c>
      <c r="E14" s="11" t="s">
        <v>1745</v>
      </c>
      <c r="F14" s="11" t="s">
        <v>1746</v>
      </c>
      <c r="G14" s="11" t="s">
        <v>1747</v>
      </c>
      <c r="H14" s="12" t="s">
        <v>1748</v>
      </c>
    </row>
    <row r="15" ht="55" customHeight="1" spans="1:8">
      <c r="A15" s="10" t="s">
        <v>1749</v>
      </c>
      <c r="B15" s="11" t="s">
        <v>1750</v>
      </c>
      <c r="C15" s="11" t="s">
        <v>1751</v>
      </c>
      <c r="D15" s="11" t="s">
        <v>1752</v>
      </c>
      <c r="E15" s="11" t="s">
        <v>1753</v>
      </c>
      <c r="F15" s="11" t="s">
        <v>1754</v>
      </c>
      <c r="G15" s="11" t="s">
        <v>1755</v>
      </c>
      <c r="H15" s="12" t="s">
        <v>1756</v>
      </c>
    </row>
    <row r="16" ht="55" customHeight="1" spans="1:8">
      <c r="A16" s="13" t="s">
        <v>1749</v>
      </c>
      <c r="B16" s="14" t="s">
        <v>1757</v>
      </c>
      <c r="C16" s="14" t="s">
        <v>1751</v>
      </c>
      <c r="D16" s="14" t="s">
        <v>1758</v>
      </c>
      <c r="E16" s="14" t="s">
        <v>1759</v>
      </c>
      <c r="F16" s="14" t="s">
        <v>1760</v>
      </c>
      <c r="G16" s="14" t="s">
        <v>1761</v>
      </c>
      <c r="H16" s="15" t="s">
        <v>1762</v>
      </c>
    </row>
  </sheetData>
  <mergeCells count="1">
    <mergeCell ref="A2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2"/>
  <sheetViews>
    <sheetView showGridLines="0" workbookViewId="0">
      <pane ySplit="5" topLeftCell="A6" activePane="bottomLeft" state="frozen"/>
      <selection/>
      <selection pane="bottomLeft" activeCell="D7" sqref="D7"/>
    </sheetView>
  </sheetViews>
  <sheetFormatPr defaultColWidth="9" defaultRowHeight="13.65" outlineLevelCol="5"/>
  <cols>
    <col min="1" max="1" width="12" customWidth="1"/>
    <col min="2" max="2" width="14" customWidth="1"/>
    <col min="3" max="3" width="24" customWidth="1"/>
    <col min="4" max="4" width="45" customWidth="1"/>
    <col min="5" max="5" width="32" customWidth="1"/>
    <col min="6" max="6" width="28" customWidth="1"/>
  </cols>
  <sheetData>
    <row r="2" ht="19" spans="1:6">
      <c r="A2" s="1" t="s">
        <v>1763</v>
      </c>
      <c r="B2" s="2"/>
      <c r="C2" s="2"/>
      <c r="D2" s="2"/>
      <c r="E2" s="2"/>
      <c r="F2" s="2"/>
    </row>
    <row r="3" ht="14.4" spans="1:6">
      <c r="A3" s="3"/>
      <c r="B3" s="3"/>
      <c r="C3" s="3"/>
      <c r="D3" s="3"/>
      <c r="E3" s="3"/>
      <c r="F3" s="3"/>
    </row>
    <row r="4" spans="1:6">
      <c r="A4" s="2"/>
      <c r="B4" s="2"/>
      <c r="C4" s="2"/>
      <c r="D4" s="2"/>
      <c r="E4" s="2"/>
      <c r="F4" s="2"/>
    </row>
    <row r="5" ht="30" customHeight="1" spans="1:6">
      <c r="A5" s="4" t="s">
        <v>1764</v>
      </c>
      <c r="B5" s="5" t="s">
        <v>1765</v>
      </c>
      <c r="C5" s="5" t="s">
        <v>1766</v>
      </c>
      <c r="D5" s="5" t="s">
        <v>1767</v>
      </c>
      <c r="E5" s="5" t="s">
        <v>1768</v>
      </c>
      <c r="F5" s="6" t="s">
        <v>1769</v>
      </c>
    </row>
    <row r="6" spans="1:6">
      <c r="A6" s="7" t="s">
        <v>1770</v>
      </c>
      <c r="B6" s="8" t="s">
        <v>1771</v>
      </c>
      <c r="C6" s="8" t="s">
        <v>1772</v>
      </c>
      <c r="D6" s="8" t="s">
        <v>1773</v>
      </c>
      <c r="E6" s="8" t="s">
        <v>1774</v>
      </c>
      <c r="F6" s="9" t="s">
        <v>86</v>
      </c>
    </row>
    <row r="7" spans="1:6">
      <c r="A7" s="10" t="s">
        <v>1775</v>
      </c>
      <c r="B7" s="11" t="s">
        <v>1771</v>
      </c>
      <c r="C7" s="11" t="s">
        <v>1776</v>
      </c>
      <c r="D7" s="11" t="s">
        <v>1777</v>
      </c>
      <c r="E7" s="11" t="s">
        <v>1778</v>
      </c>
      <c r="F7" s="12" t="s">
        <v>86</v>
      </c>
    </row>
    <row r="8" spans="1:6">
      <c r="A8" s="10" t="s">
        <v>1779</v>
      </c>
      <c r="B8" s="11" t="s">
        <v>1780</v>
      </c>
      <c r="C8" s="11" t="s">
        <v>1781</v>
      </c>
      <c r="D8" s="11" t="s">
        <v>1782</v>
      </c>
      <c r="E8" s="11" t="s">
        <v>1783</v>
      </c>
      <c r="F8" s="12" t="s">
        <v>86</v>
      </c>
    </row>
    <row r="9" spans="1:6">
      <c r="A9" s="10" t="s">
        <v>1784</v>
      </c>
      <c r="B9" s="11" t="s">
        <v>1780</v>
      </c>
      <c r="C9" s="11" t="s">
        <v>1785</v>
      </c>
      <c r="D9" s="11" t="s">
        <v>1786</v>
      </c>
      <c r="E9" s="11" t="s">
        <v>1787</v>
      </c>
      <c r="F9" s="12" t="s">
        <v>86</v>
      </c>
    </row>
    <row r="10" spans="1:6">
      <c r="A10" s="10" t="s">
        <v>1788</v>
      </c>
      <c r="B10" s="11" t="s">
        <v>1780</v>
      </c>
      <c r="C10" s="11" t="s">
        <v>1789</v>
      </c>
      <c r="D10" s="11" t="s">
        <v>1790</v>
      </c>
      <c r="E10" s="11" t="s">
        <v>1791</v>
      </c>
      <c r="F10" s="12" t="s">
        <v>86</v>
      </c>
    </row>
    <row r="11" spans="1:6">
      <c r="A11" s="10" t="s">
        <v>1792</v>
      </c>
      <c r="B11" s="11" t="s">
        <v>1727</v>
      </c>
      <c r="C11" s="11" t="s">
        <v>1793</v>
      </c>
      <c r="D11" s="11" t="s">
        <v>1794</v>
      </c>
      <c r="E11" s="11" t="s">
        <v>1795</v>
      </c>
      <c r="F11" s="12" t="s">
        <v>86</v>
      </c>
    </row>
    <row r="12" spans="1:6">
      <c r="A12" s="10" t="s">
        <v>1796</v>
      </c>
      <c r="B12" s="11" t="s">
        <v>1727</v>
      </c>
      <c r="C12" s="11" t="s">
        <v>1797</v>
      </c>
      <c r="D12" s="11" t="s">
        <v>1798</v>
      </c>
      <c r="E12" s="11" t="s">
        <v>1799</v>
      </c>
      <c r="F12" s="12" t="s">
        <v>86</v>
      </c>
    </row>
    <row r="13" spans="1:6">
      <c r="A13" s="10" t="s">
        <v>1800</v>
      </c>
      <c r="B13" s="11" t="s">
        <v>46</v>
      </c>
      <c r="C13" s="11" t="s">
        <v>1801</v>
      </c>
      <c r="D13" s="11" t="s">
        <v>1802</v>
      </c>
      <c r="E13" s="11" t="s">
        <v>1803</v>
      </c>
      <c r="F13" s="12" t="s">
        <v>86</v>
      </c>
    </row>
    <row r="14" spans="1:6">
      <c r="A14" s="10" t="s">
        <v>1804</v>
      </c>
      <c r="B14" s="11" t="s">
        <v>1805</v>
      </c>
      <c r="C14" s="11" t="s">
        <v>1806</v>
      </c>
      <c r="D14" s="11" t="s">
        <v>1807</v>
      </c>
      <c r="E14" s="11" t="s">
        <v>1808</v>
      </c>
      <c r="F14" s="12" t="s">
        <v>86</v>
      </c>
    </row>
    <row r="15" spans="1:6">
      <c r="A15" s="10" t="s">
        <v>1809</v>
      </c>
      <c r="B15" s="11" t="s">
        <v>1805</v>
      </c>
      <c r="C15" s="11" t="s">
        <v>1810</v>
      </c>
      <c r="D15" s="11" t="s">
        <v>1811</v>
      </c>
      <c r="E15" s="11" t="s">
        <v>1812</v>
      </c>
      <c r="F15" s="12" t="s">
        <v>86</v>
      </c>
    </row>
    <row r="16" spans="1:6">
      <c r="A16" s="10" t="s">
        <v>1813</v>
      </c>
      <c r="B16" s="11" t="s">
        <v>1814</v>
      </c>
      <c r="C16" s="11" t="s">
        <v>1815</v>
      </c>
      <c r="D16" s="11" t="s">
        <v>1816</v>
      </c>
      <c r="E16" s="11" t="s">
        <v>1817</v>
      </c>
      <c r="F16" s="12" t="s">
        <v>86</v>
      </c>
    </row>
    <row r="17" spans="1:6">
      <c r="A17" s="10" t="s">
        <v>1818</v>
      </c>
      <c r="B17" s="11" t="s">
        <v>1814</v>
      </c>
      <c r="C17" s="11" t="s">
        <v>1819</v>
      </c>
      <c r="D17" s="11" t="s">
        <v>1820</v>
      </c>
      <c r="E17" s="11" t="s">
        <v>1821</v>
      </c>
      <c r="F17" s="12" t="s">
        <v>86</v>
      </c>
    </row>
    <row r="18" spans="1:6">
      <c r="A18" s="10" t="s">
        <v>1822</v>
      </c>
      <c r="B18" s="11" t="s">
        <v>1814</v>
      </c>
      <c r="C18" s="11" t="s">
        <v>1823</v>
      </c>
      <c r="D18" s="11" t="s">
        <v>1824</v>
      </c>
      <c r="E18" s="11" t="s">
        <v>1825</v>
      </c>
      <c r="F18" s="12" t="s">
        <v>86</v>
      </c>
    </row>
    <row r="19" spans="1:6">
      <c r="A19" s="10" t="s">
        <v>1826</v>
      </c>
      <c r="B19" s="11" t="s">
        <v>1814</v>
      </c>
      <c r="C19" s="11" t="s">
        <v>1827</v>
      </c>
      <c r="D19" s="11" t="s">
        <v>1828</v>
      </c>
      <c r="E19" s="11" t="s">
        <v>1829</v>
      </c>
      <c r="F19" s="12" t="s">
        <v>86</v>
      </c>
    </row>
    <row r="20" spans="1:6">
      <c r="A20" s="10" t="s">
        <v>1830</v>
      </c>
      <c r="B20" s="11" t="s">
        <v>1831</v>
      </c>
      <c r="C20" s="11" t="s">
        <v>1832</v>
      </c>
      <c r="D20" s="11" t="s">
        <v>1833</v>
      </c>
      <c r="E20" s="11" t="s">
        <v>1834</v>
      </c>
      <c r="F20" s="12" t="s">
        <v>86</v>
      </c>
    </row>
    <row r="21" spans="1:6">
      <c r="A21" s="10" t="s">
        <v>1835</v>
      </c>
      <c r="B21" s="11" t="s">
        <v>520</v>
      </c>
      <c r="C21" s="11" t="s">
        <v>1836</v>
      </c>
      <c r="D21" s="11" t="s">
        <v>1837</v>
      </c>
      <c r="E21" s="11" t="s">
        <v>1838</v>
      </c>
      <c r="F21" s="12" t="s">
        <v>86</v>
      </c>
    </row>
    <row r="22" spans="1:6">
      <c r="A22" s="13" t="s">
        <v>1839</v>
      </c>
      <c r="B22" s="14" t="s">
        <v>1840</v>
      </c>
      <c r="C22" s="14" t="s">
        <v>1841</v>
      </c>
      <c r="D22" s="14" t="s">
        <v>1842</v>
      </c>
      <c r="E22" s="14" t="s">
        <v>1843</v>
      </c>
      <c r="F22" s="15" t="s">
        <v>86</v>
      </c>
    </row>
  </sheetData>
  <mergeCells count="1">
    <mergeCell ref="A2:F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2:E13"/>
  <sheetViews>
    <sheetView showGridLines="0" topLeftCell="A11" workbookViewId="0">
      <selection activeCell="A1" sqref="A1"/>
    </sheetView>
  </sheetViews>
  <sheetFormatPr defaultColWidth="9" defaultRowHeight="13.65" outlineLevelCol="4"/>
  <cols>
    <col min="1" max="1" width="12" customWidth="1"/>
    <col min="2" max="2" width="28" customWidth="1"/>
    <col min="3" max="3" width="52" customWidth="1"/>
    <col min="4" max="4" width="35" customWidth="1"/>
    <col min="5" max="5" width="42" customWidth="1"/>
  </cols>
  <sheetData>
    <row r="2" ht="19" spans="1:5">
      <c r="A2" s="1" t="s">
        <v>1844</v>
      </c>
      <c r="B2" s="2"/>
      <c r="C2" s="2"/>
      <c r="D2" s="2"/>
      <c r="E2" s="2"/>
    </row>
    <row r="3" ht="14.4" spans="1:5">
      <c r="A3" s="3"/>
      <c r="B3" s="3"/>
      <c r="C3" s="3"/>
      <c r="D3" s="3"/>
      <c r="E3" s="3"/>
    </row>
    <row r="4" spans="1:5">
      <c r="A4" s="2"/>
      <c r="B4" s="2"/>
      <c r="C4" s="2"/>
      <c r="D4" s="2"/>
      <c r="E4" s="2"/>
    </row>
    <row r="5" ht="30" customHeight="1" spans="1:5">
      <c r="A5" s="4" t="s">
        <v>1845</v>
      </c>
      <c r="B5" s="5" t="s">
        <v>1846</v>
      </c>
      <c r="C5" s="5" t="s">
        <v>1847</v>
      </c>
      <c r="D5" s="5" t="s">
        <v>1848</v>
      </c>
      <c r="E5" s="6" t="s">
        <v>1849</v>
      </c>
    </row>
    <row r="6" ht="52" customHeight="1" spans="1:5">
      <c r="A6" s="7" t="s">
        <v>1850</v>
      </c>
      <c r="B6" s="8" t="s">
        <v>1851</v>
      </c>
      <c r="C6" s="8" t="s">
        <v>1852</v>
      </c>
      <c r="D6" s="8" t="s">
        <v>1853</v>
      </c>
      <c r="E6" s="9" t="s">
        <v>1854</v>
      </c>
    </row>
    <row r="7" ht="52" customHeight="1" spans="1:5">
      <c r="A7" s="10" t="s">
        <v>1855</v>
      </c>
      <c r="B7" s="11" t="s">
        <v>1856</v>
      </c>
      <c r="C7" s="11" t="s">
        <v>1857</v>
      </c>
      <c r="D7" s="11" t="s">
        <v>1858</v>
      </c>
      <c r="E7" s="12" t="s">
        <v>1859</v>
      </c>
    </row>
    <row r="8" ht="52" customHeight="1" spans="1:5">
      <c r="A8" s="10" t="s">
        <v>1860</v>
      </c>
      <c r="B8" s="11" t="s">
        <v>1861</v>
      </c>
      <c r="C8" s="11" t="s">
        <v>1862</v>
      </c>
      <c r="D8" s="11" t="s">
        <v>1863</v>
      </c>
      <c r="E8" s="12" t="s">
        <v>1864</v>
      </c>
    </row>
    <row r="9" ht="52" customHeight="1" spans="1:5">
      <c r="A9" s="10" t="s">
        <v>1865</v>
      </c>
      <c r="B9" s="11" t="s">
        <v>1866</v>
      </c>
      <c r="C9" s="11" t="s">
        <v>1867</v>
      </c>
      <c r="D9" s="11" t="s">
        <v>1868</v>
      </c>
      <c r="E9" s="12" t="s">
        <v>1869</v>
      </c>
    </row>
    <row r="10" ht="52" customHeight="1" spans="1:5">
      <c r="A10" s="10" t="s">
        <v>1870</v>
      </c>
      <c r="B10" s="11" t="s">
        <v>1871</v>
      </c>
      <c r="C10" s="11" t="s">
        <v>1872</v>
      </c>
      <c r="D10" s="11" t="s">
        <v>1873</v>
      </c>
      <c r="E10" s="12" t="s">
        <v>1874</v>
      </c>
    </row>
    <row r="11" ht="52" customHeight="1" spans="1:5">
      <c r="A11" s="10" t="s">
        <v>1875</v>
      </c>
      <c r="B11" s="11" t="s">
        <v>1876</v>
      </c>
      <c r="C11" s="11" t="s">
        <v>1877</v>
      </c>
      <c r="D11" s="11" t="s">
        <v>1878</v>
      </c>
      <c r="E11" s="12" t="s">
        <v>1879</v>
      </c>
    </row>
    <row r="12" ht="52" customHeight="1" spans="1:5">
      <c r="A12" s="10" t="s">
        <v>1880</v>
      </c>
      <c r="B12" s="11" t="s">
        <v>1881</v>
      </c>
      <c r="C12" s="11" t="s">
        <v>1882</v>
      </c>
      <c r="D12" s="11" t="s">
        <v>1883</v>
      </c>
      <c r="E12" s="12" t="s">
        <v>1884</v>
      </c>
    </row>
    <row r="13" ht="52" customHeight="1" spans="1:5">
      <c r="A13" s="13" t="s">
        <v>1885</v>
      </c>
      <c r="B13" s="14" t="s">
        <v>1886</v>
      </c>
      <c r="C13" s="14" t="s">
        <v>1887</v>
      </c>
      <c r="D13" s="14" t="s">
        <v>1888</v>
      </c>
      <c r="E13" s="15" t="s">
        <v>1889</v>
      </c>
    </row>
  </sheetData>
  <mergeCells count="1"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测试说明</vt:lpstr>
      <vt:lpstr>测试执行概览</vt:lpstr>
      <vt:lpstr>测试用例</vt:lpstr>
      <vt:lpstr>需求覆盖矩阵</vt:lpstr>
      <vt:lpstr>协议测试矩阵</vt:lpstr>
      <vt:lpstr>测试数据</vt:lpstr>
      <vt:lpstr>已知限制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</cp:lastModifiedBy>
  <dcterms:created xsi:type="dcterms:W3CDTF">2026-09-22T03:46:19Z</dcterms:created>
  <dcterms:modified xsi:type="dcterms:W3CDTF">2026-09-22T03:47:32Z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CF074844D4C44651B8FD7028A85DED13_12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